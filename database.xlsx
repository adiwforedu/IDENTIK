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.gemini\antigravity\scratch\inklusi_pintar\"/>
    </mc:Choice>
  </mc:AlternateContent>
  <xr:revisionPtr revIDLastSave="0" documentId="13_ncr:1_{D93B686B-9E25-449C-B71D-2641EE86104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H. Penglihatan" sheetId="1" r:id="rId1"/>
    <sheet name="H. Pendengaran" sheetId="2" r:id="rId2"/>
    <sheet name="H. Intelektual" sheetId="3" r:id="rId3"/>
    <sheet name="H. Fisik Motorik" sheetId="4" r:id="rId4"/>
    <sheet name="H. Emosional" sheetId="5" r:id="rId5"/>
    <sheet name="AUTISM" sheetId="6" r:id="rId6"/>
    <sheet name="ADHD" sheetId="7" r:id="rId7"/>
    <sheet name="Slow Leaner" sheetId="8" r:id="rId8"/>
    <sheet name="Kesulitan Belajar" sheetId="9" r:id="rId9"/>
    <sheet name="CIB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irkRNAVEgBaIBPk8ebX+jKQGH+zZ3X+2rLQkPM0i33k="/>
    </ext>
  </extLst>
</workbook>
</file>

<file path=xl/calcChain.xml><?xml version="1.0" encoding="utf-8"?>
<calcChain xmlns="http://schemas.openxmlformats.org/spreadsheetml/2006/main">
  <c r="G36" i="1" l="1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44" i="10" s="1"/>
  <c r="E49" i="10" s="1"/>
  <c r="G19" i="10"/>
  <c r="A19" i="10"/>
  <c r="G31" i="9"/>
  <c r="G30" i="9"/>
  <c r="G29" i="9"/>
  <c r="G28" i="9"/>
  <c r="G38" i="9" s="1"/>
  <c r="E41" i="9" s="1"/>
  <c r="G27" i="9"/>
  <c r="G26" i="9"/>
  <c r="G25" i="9"/>
  <c r="G24" i="9"/>
  <c r="G23" i="9"/>
  <c r="G37" i="9" s="1"/>
  <c r="E40" i="9" s="1"/>
  <c r="G22" i="9"/>
  <c r="G21" i="9"/>
  <c r="G20" i="9"/>
  <c r="G36" i="9" s="1"/>
  <c r="E39" i="9" s="1"/>
  <c r="G29" i="8"/>
  <c r="G28" i="8"/>
  <c r="G27" i="8"/>
  <c r="G26" i="8"/>
  <c r="G25" i="8"/>
  <c r="G24" i="8"/>
  <c r="G23" i="8"/>
  <c r="G22" i="8"/>
  <c r="G21" i="8"/>
  <c r="G20" i="8"/>
  <c r="G30" i="8" s="1"/>
  <c r="E35" i="8" s="1"/>
  <c r="A20" i="8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39" i="7" s="1"/>
  <c r="E44" i="7" s="1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33" i="6" s="1"/>
  <c r="E38" i="6" s="1"/>
  <c r="G29" i="5"/>
  <c r="E34" i="5" s="1"/>
  <c r="G28" i="5"/>
  <c r="G27" i="5"/>
  <c r="G26" i="5"/>
  <c r="G25" i="5"/>
  <c r="G24" i="5"/>
  <c r="G23" i="5"/>
  <c r="G22" i="5"/>
  <c r="G21" i="5"/>
  <c r="G20" i="5"/>
  <c r="G24" i="4"/>
  <c r="G25" i="4" s="1"/>
  <c r="E30" i="4" s="1"/>
  <c r="G23" i="4"/>
  <c r="G22" i="4"/>
  <c r="G21" i="4"/>
  <c r="G20" i="4"/>
  <c r="A20" i="4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36" i="3" s="1"/>
  <c r="E41" i="3" s="1"/>
  <c r="A20" i="3"/>
  <c r="G29" i="2"/>
  <c r="G28" i="2"/>
  <c r="G27" i="2"/>
  <c r="G26" i="2"/>
  <c r="G25" i="2"/>
  <c r="G24" i="2"/>
  <c r="G23" i="2"/>
  <c r="G31" i="2" s="1"/>
  <c r="E37" i="2" s="1"/>
  <c r="G22" i="2"/>
  <c r="G21" i="2"/>
  <c r="G30" i="2" s="1"/>
  <c r="E36" i="2" s="1"/>
  <c r="G35" i="1"/>
  <c r="G34" i="1"/>
  <c r="G33" i="1"/>
  <c r="G32" i="1"/>
  <c r="G31" i="1"/>
  <c r="G30" i="1"/>
  <c r="G29" i="1"/>
  <c r="G28" i="1"/>
  <c r="G27" i="1"/>
  <c r="G26" i="1"/>
  <c r="G25" i="1"/>
  <c r="G24" i="1"/>
  <c r="G39" i="1" s="1"/>
  <c r="E45" i="1" s="1"/>
  <c r="G23" i="1"/>
  <c r="G22" i="1"/>
  <c r="G21" i="1"/>
  <c r="G20" i="1"/>
  <c r="G19" i="1"/>
  <c r="G38" i="1" s="1"/>
  <c r="E44" i="1" s="1"/>
</calcChain>
</file>

<file path=xl/sharedStrings.xml><?xml version="1.0" encoding="utf-8"?>
<sst xmlns="http://schemas.openxmlformats.org/spreadsheetml/2006/main" count="531" uniqueCount="230">
  <si>
    <t>IDENTITAS ANAK</t>
  </si>
  <si>
    <t>Nama</t>
  </si>
  <si>
    <t>:</t>
  </si>
  <si>
    <t>Tempat,tgl lahir</t>
  </si>
  <si>
    <t>Jenis kelamin</t>
  </si>
  <si>
    <t>Nama Sekolah</t>
  </si>
  <si>
    <t>Kelas</t>
  </si>
  <si>
    <t>Alamat rumah</t>
  </si>
  <si>
    <t>Alamat sekolah</t>
  </si>
  <si>
    <t>Tanggal</t>
  </si>
  <si>
    <t>Nama Asesor</t>
  </si>
  <si>
    <t>Tanda tangan</t>
  </si>
  <si>
    <t>IDENTIFKASI HAMBATAN PENGLIHATAN</t>
  </si>
  <si>
    <t xml:space="preserve">PETUNJUK </t>
  </si>
  <si>
    <t>Ketik angka 1 jika ya dan angka 0 jika tidak pada kolom warna kuning pernyataan sesuai dengan gejala yang tampak/ diperoleh</t>
  </si>
  <si>
    <t>KATEGORI</t>
  </si>
  <si>
    <t>NO</t>
  </si>
  <si>
    <t>PERTANYAAN</t>
  </si>
  <si>
    <t>BOBOT</t>
  </si>
  <si>
    <t>TEKNIK</t>
  </si>
  <si>
    <t>Ya=1, Tidak=0</t>
  </si>
  <si>
    <t>SKOR</t>
  </si>
  <si>
    <t>A. Buta</t>
  </si>
  <si>
    <t>Tidak dapat  melihat tetapi dapat   membedakan sumber  cahaya</t>
  </si>
  <si>
    <t>Tidak dapat  melihat tetapi dapat  memahami  bayangan benda</t>
  </si>
  <si>
    <t>Tidak dapat  melihat tetapi dapat membedakan benda bergerak</t>
  </si>
  <si>
    <t>Hanya dapat membedakan gelap dan terang</t>
  </si>
  <si>
    <t>Tidak dapat membedakan gelap dan terang</t>
  </si>
  <si>
    <t>B. Low Vision</t>
  </si>
  <si>
    <t>Kurang melihat (Kabur) tidak mampu menghitung jari asesor dalam jarak 1 m</t>
  </si>
  <si>
    <t>Kesulitan mengambil benda kecil di dekatnya</t>
  </si>
  <si>
    <t>Tidak dapat menulis mengikuti garis lurus</t>
  </si>
  <si>
    <t>Sering meraba dan tersandung waktu berjalan</t>
  </si>
  <si>
    <t>Bagian bola mata yang hitam bewarna keruh/ bersisik/kering</t>
  </si>
  <si>
    <t>Mata bergoyang terus (nistagmus)</t>
  </si>
  <si>
    <t>Peradangan hebat pada kedua bola mata</t>
  </si>
  <si>
    <t>Penglihatan periperal (melihat tepi), yang ditandai dengan kemampuan  melihat bagian samping tetapi tidak mampu melihat bagian tengah (fokus)</t>
  </si>
  <si>
    <t>Mampu menulis huruf awas (dengan ukuran besar) dan braille</t>
  </si>
  <si>
    <t>Mampu membaca huruf awas (dengan ukuran besar) dan braille</t>
  </si>
  <si>
    <t>Mampu melakukan mobilitas dilingkungan yang sudah dikenal tanpa alat bantu</t>
  </si>
  <si>
    <t>Dapat membedakan warna solid</t>
  </si>
  <si>
    <t>Penglihatan teropong, yang ditandai dengan kemampuan melihat seperti orang menggunakan teropong/ sempit</t>
  </si>
  <si>
    <t>Skor gejala A</t>
  </si>
  <si>
    <t>Skor gelaja B</t>
  </si>
  <si>
    <t>Tuliskan temuan lain (jika ada) tentang kondisi anak yang berhubungan dengan hambatan penglihatan di bawah ini:</t>
  </si>
  <si>
    <t>KESIMPULAN</t>
  </si>
  <si>
    <t>A. Diduga</t>
  </si>
  <si>
    <t>B. Diduga</t>
  </si>
  <si>
    <t>IDENTIFIKASI HAMBATAN PENDENGARAN</t>
  </si>
  <si>
    <t>YA=1, TIDAK=0</t>
  </si>
  <si>
    <t>Skor</t>
  </si>
  <si>
    <t>A. Berat/ menyeluruh</t>
  </si>
  <si>
    <t>Tidak memahami perintah (bicara sangat keras/ teriak) dalam jarak 1 m</t>
  </si>
  <si>
    <t>Ucapan kata tidak jelas dan sulit dipahami</t>
  </si>
  <si>
    <t>B. Sedang/ sebagian</t>
  </si>
  <si>
    <t>Tidak memahami perintah dalam jarak lebih 1 m</t>
  </si>
  <si>
    <t xml:space="preserve">Sering memiringkan kepala dalam usaha mendengar  </t>
  </si>
  <si>
    <t xml:space="preserve">Banyak perhatian terhadap getaran </t>
  </si>
  <si>
    <t xml:space="preserve">Tidak ada reaksi terhadap bunyi di dekatnya  lebih 1 meter  </t>
  </si>
  <si>
    <t xml:space="preserve">Terlambat dalam perkembangan bahasa </t>
  </si>
  <si>
    <t xml:space="preserve">Sering menggunakan isyarat dalam berkomunikasi </t>
  </si>
  <si>
    <t xml:space="preserve">Kurang atau tidak tanggap bila diajak bicara </t>
  </si>
  <si>
    <t>Skor gejala B</t>
  </si>
  <si>
    <t>Tuliskan temuan lain (jika ada) tentang kondisi anak yang berhubungan dengan hambatan pendengaran di bawah ini:</t>
  </si>
  <si>
    <t>A Diduga</t>
  </si>
  <si>
    <t>Habiebie Rayyan Suhada</t>
  </si>
  <si>
    <t>Cimahi, 29 Mei 2019</t>
  </si>
  <si>
    <t>Laki-laki</t>
  </si>
  <si>
    <t>PAUD SPS TAAM (sebelumnya)</t>
  </si>
  <si>
    <t>PAUD</t>
  </si>
  <si>
    <t>Jl. Budhi Singkur Mulya RT.003 RW.012 Kelurahan  Pasir Kaliki Kecamatan Cimahi Utara Kota Cimahi</t>
  </si>
  <si>
    <t>Ds. Cibabat Kec. Cimahi Utara Kota Cimahi</t>
  </si>
  <si>
    <t>1. Sindi Ariani, S.Pd  2. Raharja Winata, M.Pd  3. Yopi Yuliana, M.Pd</t>
  </si>
  <si>
    <t>IDENTIFIKASI HAMBATAN INTELEKTUAL KATEGORI TUNAGRAHITA</t>
  </si>
  <si>
    <t>YA=1,TIDAK=0</t>
  </si>
  <si>
    <t>Tingkat kecerdasan jauh di bawah normal</t>
  </si>
  <si>
    <t>Mengalami kelambatan dalam segala hal kalau dibandingkan dengan anak-anak normal usia sebaya, baik di tinjau dari psikis, sosial, dan kemampuan fisik</t>
  </si>
  <si>
    <t>Tidak dapat konsentrasi terlalu lama (lekas bosan)</t>
  </si>
  <si>
    <t>Daya abstraksi sangat kurang</t>
  </si>
  <si>
    <t>Perbendaharaan kata sangat terbatas</t>
  </si>
  <si>
    <t>Perilakunya kurang luwes/fleksibel</t>
  </si>
  <si>
    <t>cukup luwes</t>
  </si>
  <si>
    <t>Pikiran, ingatan, kemauan, dan sifat-sifat mental lainnya sedemikian terbelakang kalau dibandingkan dengan anak normal sebaya</t>
  </si>
  <si>
    <t>Jari kaki dan tangan pendek tebal</t>
  </si>
  <si>
    <t>Alis tumbuh mengikuti garis ke atas keluar (Epicantus)</t>
  </si>
  <si>
    <t>Mulut membuka</t>
  </si>
  <si>
    <t>Mulut berair liur</t>
  </si>
  <si>
    <t>Suara datar</t>
  </si>
  <si>
    <t>Bibir tebal</t>
  </si>
  <si>
    <t xml:space="preserve">Mata sipit </t>
  </si>
  <si>
    <t>Kepala bagian belakang pipih</t>
  </si>
  <si>
    <t>Rambut tegak kaku kasar</t>
  </si>
  <si>
    <t xml:space="preserve">Skor gejala </t>
  </si>
  <si>
    <t>Tuliskan temuan lain (jika ada) tentang kondisi anak yang berhubungan dengan hambatan intelektual di bawah ini:</t>
  </si>
  <si>
    <t>motorik anak cukup bagus, mental belum mandiri (menangis kalau ditinggal Ibunya saat asesmen), kemampuan akademik cukup baik/ringan, ingatan ada beberapa yang ingat dan tidak</t>
  </si>
  <si>
    <t xml:space="preserve"> Diduga</t>
  </si>
  <si>
    <t>indikasi tunagrahita ringan</t>
  </si>
  <si>
    <t>IDENTIFIKASI HAMBATAN FISIK MOTORIK</t>
  </si>
  <si>
    <t>Anggota gerak tubuh kaku/lemah/lumpuh</t>
  </si>
  <si>
    <t>Terdapat bagian anggota gerak yang berbeda dari biasa (lebih kecil/besar/panjang/pendek)</t>
  </si>
  <si>
    <t>Terdapat anggota tubuh yang tremor/ bergerak-gerak terus menerus tidak terkendali</t>
  </si>
  <si>
    <t>Gangguan koordinasi gerak</t>
  </si>
  <si>
    <t>Kehilangan/ketidaksempuran sebagian anggota tubuh</t>
  </si>
  <si>
    <t>Tuliskan temuan lain (jika ada) tentang kondisi anak yang berhubungan dengan hambatan fisik motorik di bawah ini:</t>
  </si>
  <si>
    <t>Khaisanu Arshad Alsyazani</t>
  </si>
  <si>
    <t>Bandung, 20 November 2019</t>
  </si>
  <si>
    <t>TK Negeri Pembina Kota Cimahi (sebelumnya)</t>
  </si>
  <si>
    <t>TK</t>
  </si>
  <si>
    <t>IDENTIFIKASI HAMBATAN EMOSI KATEGORI TUNALARAS</t>
  </si>
  <si>
    <t>Kategori</t>
  </si>
  <si>
    <t>Tunalaras</t>
  </si>
  <si>
    <t>Sering berbuat asusila</t>
  </si>
  <si>
    <t>Sering berkelahi</t>
  </si>
  <si>
    <t>Sering membolos</t>
  </si>
  <si>
    <t>Sering bicara cabul</t>
  </si>
  <si>
    <t>Sering mencuri</t>
  </si>
  <si>
    <t>Kecanduan minuman keras/narkoba/zat adiktif lainnya</t>
  </si>
  <si>
    <t>Mudah terpancing emosinya/emosional/mudah marah</t>
  </si>
  <si>
    <t>Sering melakukan tindakan agresif, merusak, mengganggu</t>
  </si>
  <si>
    <t>Sering bertindak melanggar norma sosial/norma susila/hukum</t>
  </si>
  <si>
    <t>Tuliskan temuan lain (jika ada) tentang kondisi anak yang berhubungan dengan hambatan emosi kategori tunalaras di bawah ini:</t>
  </si>
  <si>
    <t>Khais</t>
  </si>
  <si>
    <t>IDENTIFIKASI HAMBATAN KOMUNIKASI, INTERAKSI, DAN PERILAKU (AUTISM)</t>
  </si>
  <si>
    <t>YA=1,                     TIDAK=0</t>
  </si>
  <si>
    <t>AUTIS</t>
  </si>
  <si>
    <t>Tidak mau kontrak mata, ekspresi muka kurang hidup, gerak-gerik kurang tertuju</t>
  </si>
  <si>
    <t>Tak dapat bermain dengan teman sebaya</t>
  </si>
  <si>
    <t>di sekolah sudah aman, lebih akrab di rumah, udah mulai ada d lingkungan tetangga</t>
  </si>
  <si>
    <t>Tak ada empati</t>
  </si>
  <si>
    <t xml:space="preserve">belum ada respon, </t>
  </si>
  <si>
    <t>Kurang mampu mengadakan hubungan sosial dan emosional yang timbal balik.</t>
  </si>
  <si>
    <t>kadang-kadang</t>
  </si>
  <si>
    <t>Perkembangan bicara terlambat atau sama sekali tidak berkembang Anak tidak berusaha untuk berkomunikasi secara nonverbal.</t>
  </si>
  <si>
    <t>muali ada bahasa verbal</t>
  </si>
  <si>
    <t>Sering menggunakan bahasa yang aneh dan diulang-ulang.</t>
  </si>
  <si>
    <t>mengeluarkan bahasa yang di dengar</t>
  </si>
  <si>
    <t>Cara bermain yang kurang variatif, kurang imajinatif, dan kuarng dapat meniru.</t>
  </si>
  <si>
    <t>variatif sesuai mainan yang disukai</t>
  </si>
  <si>
    <t>Mempertahankan satu minat atau lebih dengan cara yang sangat khas dan berlebihan.</t>
  </si>
  <si>
    <t>awalnya senag berenang, dan main air</t>
  </si>
  <si>
    <t>Terpaku pada suatu kegiatan yang ritualitastic atau rutinityas yang tak ada gunanya.</t>
  </si>
  <si>
    <t>bermaian sebelum belajar</t>
  </si>
  <si>
    <t>Ada gerakan aneh yang khas dan diulang-ulang.</t>
  </si>
  <si>
    <t>sekarang sudah jarang, kadang tertawa sendiri/fllaping</t>
  </si>
  <si>
    <t>Sering kali sangat terpukau pada bagian-bagian benda.</t>
  </si>
  <si>
    <t>suka dengan benda mobil</t>
  </si>
  <si>
    <t>Tidak suka dipeluk</t>
  </si>
  <si>
    <t>Suka berjalan dengan “jinjit"</t>
  </si>
  <si>
    <t>suka jinjit, jarang pakai alas</t>
  </si>
  <si>
    <t>Tuliskan temuan lain (jika ada) tentang kondisi anak yang berhubungan dengan hambatan komunikasi, interaksi, dan perilaku (autism) di bawah ini:</t>
  </si>
  <si>
    <t>IDENTIFKASI GANGGUAN PEMUSATAN PERHATIAN DAN HIPERAKTIVITAS (GPPH)/ADHD</t>
  </si>
  <si>
    <t>YA=1,  TIDAK=0</t>
  </si>
  <si>
    <t>ADHD</t>
  </si>
  <si>
    <t>Tangan dan kaki sering tidak bisa diam</t>
  </si>
  <si>
    <t>Sering meninggalkan tempat duduk</t>
  </si>
  <si>
    <t>Sering berlari atau memanjat berlebihan dalam situasi yang tidak sesuai</t>
  </si>
  <si>
    <t>Sering kesulitan bermain dengan tenang</t>
  </si>
  <si>
    <t>Sering dalam keadaan "siap bergerak"</t>
  </si>
  <si>
    <t>Sering bicara berlebihan</t>
  </si>
  <si>
    <t>Sering melontarkan jawaban sebelum pertanyaan selesai ditanyakan</t>
  </si>
  <si>
    <t>Sering sulit menunggu antrian</t>
  </si>
  <si>
    <t>Sering menyela atau memaksakan diri terhadap orang lain</t>
  </si>
  <si>
    <t>Sering membuat kesalahan pada hal kecil (ceroboh)</t>
  </si>
  <si>
    <t>Sering sulit mempertahankan perhatian</t>
  </si>
  <si>
    <t>Sering seperti tidak mendengarkan saat diajak bicara langsung</t>
  </si>
  <si>
    <t>Sering gagal menyelesaikan pekerjaan</t>
  </si>
  <si>
    <t>Sering sulit mengatur tugas dan kegiatan</t>
  </si>
  <si>
    <t>Sering enggan terlibat dalam tugas yang memerlukan ketekunan</t>
  </si>
  <si>
    <t>Sering menghilangkan benda yang diperlukan untuk melakukan tugas</t>
  </si>
  <si>
    <t>Sering mudah teralih perhatian oleh rangsangan dari luar</t>
  </si>
  <si>
    <t>Sering lupa dalam kegiatan sehari-hari</t>
  </si>
  <si>
    <t>Tuliskan temuan lain (jika ada) tentang kondisi anak yang berhubungan dengan Ganguan Pemusahatan Perhatian dan Hiperaktif (GPPH)/ADHD di bawah ini:</t>
  </si>
  <si>
    <t>IDENTIFIKASI HAMBATAN INTELEKTUAL KATEGORI LAMBAN BELAJAR/SLOW LEARNER</t>
  </si>
  <si>
    <t>Pernah tidak naik kelas</t>
  </si>
  <si>
    <t>Daya tangkap terhadap pelajaran lambat</t>
  </si>
  <si>
    <t>Sering lambat dalam menyelesaikan tugas-tugas akademik</t>
  </si>
  <si>
    <t>Rata-rata prestasi belajar selalu rendah</t>
  </si>
  <si>
    <t>Bisa membaca huruf gagal membaca kata</t>
  </si>
  <si>
    <t>Memahami perintah  setelah diulang-ulang</t>
  </si>
  <si>
    <r>
      <rPr>
        <sz val="10"/>
        <color rgb="FF212529"/>
        <rFont val="Arial Narrow"/>
      </rPr>
      <t>Memiliki </t>
    </r>
    <r>
      <rPr>
        <i/>
        <sz val="10"/>
        <color rgb="FF212529"/>
        <rFont val="Arial Narrow"/>
      </rPr>
      <t>self image</t>
    </r>
    <r>
      <rPr>
        <sz val="10"/>
        <color rgb="FF212529"/>
        <rFont val="Arial Narrow"/>
      </rPr>
      <t> yang buruk (pemalu, pendiam, kurang percaya diri, menarik diri dari lingkungan sosial) sehingga mengalami kesulitan dalam berteman</t>
    </r>
  </si>
  <si>
    <t>Memiliki daya ingat yang memadai, namun lambat dalam mengingat</t>
  </si>
  <si>
    <t>Menguasai suatu keterampilan dengan lambat, dan untuk beberapa kemampuan bahkan tidak dapat dikuasai</t>
  </si>
  <si>
    <t>Terbatasnya kemampuan koordinasi (seperti olahraga, menggunakan alat tulis atau mengenakan pakaian)</t>
  </si>
  <si>
    <t>Tuliskan temuan lain (jika ada) tentang kondisi anak yang berhubungan dengan Hambatan inteltual kategori lamban belajar/slow learner di bawah ini:</t>
  </si>
  <si>
    <t>IDENTIFIKASI KESULITAN BELAJAR SPESIFIK</t>
  </si>
  <si>
    <t>DISLEKSIA (A)</t>
  </si>
  <si>
    <t>Perkembangan kemampuan membaca  terlambat,</t>
  </si>
  <si>
    <t>Kemampuan memahami isi bacaan rendah,</t>
  </si>
  <si>
    <t>Sering salah membaca huruf b dengan p, p dengan q, v dengan u, 2 dengan 5, 6 dengan 9, dan sebagainya</t>
  </si>
  <si>
    <t>DISGRAFIA (B)</t>
  </si>
  <si>
    <t>Kalau menyali tulisan sering terlambat selesai</t>
  </si>
  <si>
    <t>Sering salah menulis huruf b dengan p, p dengan q, v dengan u, 2 dengan 5, 6 dengan 9, dan sebagainya</t>
  </si>
  <si>
    <t>Tulisannya banyak salah/terbalik/huruf hilang,</t>
  </si>
  <si>
    <t>Sulit menulis dengan lurus pada kertas bergaris</t>
  </si>
  <si>
    <t>DISKALKULIA ( C)</t>
  </si>
  <si>
    <t>Sulit membedakan tanda-tanda: +, -, x, :, &lt;, &gt;, =</t>
  </si>
  <si>
    <t>Sulit mengoperasikan hitungan/bilangan</t>
  </si>
  <si>
    <t>sering salah membilang dengan urut</t>
  </si>
  <si>
    <t>Sering salah membedakan angka 9 dengan 6; 17 dengan 71, 2 dengan 5, 3 dengan 8 dan sebagainya</t>
  </si>
  <si>
    <t>Sulit membedakan bangun geometri</t>
  </si>
  <si>
    <t>Tuliskan temuan lain (jika ada) tentang kondisi anak yang berhubungan dengan kesulitan belajar spesifik di bawah ini:</t>
  </si>
  <si>
    <t>Skor gejala C</t>
  </si>
  <si>
    <t>C.Diguga</t>
  </si>
  <si>
    <t>IDENTIFIKASI CERDAS ISTIMEWA</t>
  </si>
  <si>
    <t>Membaca pada usia kurang dari 6 tahun,</t>
  </si>
  <si>
    <t>Membaca lebih cepat dan lebih banyak,</t>
  </si>
  <si>
    <t>Memiliki perbendaharaan kata yang luas,</t>
  </si>
  <si>
    <t>Mempunyai rasa ingin tahu yang kuat</t>
  </si>
  <si>
    <t>Mempunyai minat yang luas, juga terhadap masalah orang dewasa</t>
  </si>
  <si>
    <t>Mempunyai inisitif dan dapat bekerja sendiri,</t>
  </si>
  <si>
    <t>Menunjukkan kesalahan (orisinalitas) dalam ungkapan verbal</t>
  </si>
  <si>
    <t>Memberi jawaban, jawaban yang baik</t>
  </si>
  <si>
    <t>Dapat memberikan banyak gagasan,</t>
  </si>
  <si>
    <t>Luwes dalam berpikir</t>
  </si>
  <si>
    <t>Terbuka terhadap rangsangan-rangsangan dari lingkungan</t>
  </si>
  <si>
    <t>Mempunyai pengamatan yang tajam</t>
  </si>
  <si>
    <t>Dapat Berkonsentrasi dalam jangka waktu yang panjang terutama dalam tugas atau bidang yang minati</t>
  </si>
  <si>
    <t>Berpikir kritis juga terhadap diri sendiri</t>
  </si>
  <si>
    <t>Senang mencoba hal-hal baru</t>
  </si>
  <si>
    <t>Mempunyai daya abstraksi, konseptualisasi dan sintetis yang tinggi</t>
  </si>
  <si>
    <t>Senang terhadap kegiatan intelektual dan pemecahan masalah-masalah</t>
  </si>
  <si>
    <t>Cepat menangkap hubungan sebab akibat</t>
  </si>
  <si>
    <t>Berprilaku terarah terhadap tujuan</t>
  </si>
  <si>
    <t>Mempunyai daya imajinasi yang kuat</t>
  </si>
  <si>
    <t>Mempunyai banyak kegemaran/hobi</t>
  </si>
  <si>
    <t>mempunyai daya ingat yang kuat</t>
  </si>
  <si>
    <t>Tidak cepat puas dengan prestasinya</t>
  </si>
  <si>
    <t>Peka (sensitif) serta menggunakan firasat (intuisi),</t>
  </si>
  <si>
    <t>Menginginkan kebebasan dalam gerakan dan tindakan</t>
  </si>
  <si>
    <t>Tuliskan temuan lain (jika ada) tentang kondisi anak yang berhubungan dengan cerdas istimewa di bawah ini: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</si>
</sst>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0"/>
      <color theme="1"/>
      <name val="Arial Narrow"/>
    </font>
    <font>
      <sz val="11"/>
      <name val="Calibri"/>
    </font>
    <font>
      <sz val="10"/>
      <color rgb="FF000000"/>
      <name val="Arial Narrow"/>
    </font>
    <font>
      <sz val="11"/>
      <color theme="1"/>
      <name val="Calibri"/>
    </font>
    <font>
      <sz val="11"/>
      <color rgb="FF000000"/>
      <name val="Arial Narrow"/>
    </font>
    <font>
      <sz val="11"/>
      <color theme="1"/>
      <name val="Calibri"/>
      <scheme val="minor"/>
    </font>
    <font>
      <b/>
      <sz val="10"/>
      <color rgb="FF000000"/>
      <name val="Arial Narrow"/>
    </font>
    <font>
      <sz val="10"/>
      <color rgb="FF333333"/>
      <name val="Arial Narrow"/>
    </font>
    <font>
      <sz val="10"/>
      <color rgb="FF212529"/>
      <name val="Arial Narrow"/>
    </font>
    <font>
      <i/>
      <sz val="10"/>
      <color rgb="FF212529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7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8" xfId="0" applyFont="1" applyBorder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/>
    </xf>
    <xf numFmtId="0" fontId="4" fillId="0" borderId="17" xfId="0" applyFont="1" applyBorder="1"/>
    <xf numFmtId="0" fontId="3" fillId="0" borderId="13" xfId="0" applyFont="1" applyBorder="1" applyAlignment="1">
      <alignment horizontal="right"/>
    </xf>
    <xf numFmtId="0" fontId="3" fillId="0" borderId="13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 vertical="center"/>
    </xf>
    <xf numFmtId="0" fontId="1" fillId="0" borderId="29" xfId="0" applyFont="1" applyBorder="1"/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top"/>
    </xf>
    <xf numFmtId="0" fontId="3" fillId="0" borderId="13" xfId="0" applyFont="1" applyBorder="1"/>
    <xf numFmtId="0" fontId="3" fillId="3" borderId="13" xfId="0" applyFont="1" applyFill="1" applyBorder="1" applyAlignment="1">
      <alignment horizontal="right"/>
    </xf>
    <xf numFmtId="0" fontId="3" fillId="0" borderId="14" xfId="0" applyFont="1" applyBorder="1"/>
    <xf numFmtId="0" fontId="1" fillId="0" borderId="13" xfId="0" applyFont="1" applyBorder="1" applyAlignment="1">
      <alignment vertical="top" wrapText="1"/>
    </xf>
    <xf numFmtId="0" fontId="1" fillId="0" borderId="13" xfId="0" applyFont="1" applyBorder="1" applyAlignment="1">
      <alignment wrapText="1"/>
    </xf>
    <xf numFmtId="0" fontId="1" fillId="0" borderId="12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6" fillId="0" borderId="0" xfId="0" applyFont="1"/>
    <xf numFmtId="0" fontId="1" fillId="0" borderId="17" xfId="0" applyFont="1" applyBorder="1"/>
    <xf numFmtId="0" fontId="1" fillId="0" borderId="33" xfId="0" applyFont="1" applyBorder="1"/>
    <xf numFmtId="0" fontId="1" fillId="0" borderId="33" xfId="0" applyFont="1" applyBorder="1" applyAlignment="1">
      <alignment wrapText="1"/>
    </xf>
    <xf numFmtId="0" fontId="1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1" fillId="0" borderId="7" xfId="0" applyFont="1" applyBorder="1"/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left" wrapText="1"/>
    </xf>
    <xf numFmtId="0" fontId="1" fillId="4" borderId="12" xfId="0" applyFont="1" applyFill="1" applyBorder="1" applyAlignment="1">
      <alignment vertical="center"/>
    </xf>
    <xf numFmtId="0" fontId="3" fillId="4" borderId="42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top" wrapText="1"/>
    </xf>
    <xf numFmtId="0" fontId="9" fillId="0" borderId="13" xfId="0" applyFont="1" applyBorder="1" applyAlignment="1">
      <alignment horizontal="left" vertical="top"/>
    </xf>
    <xf numFmtId="0" fontId="3" fillId="0" borderId="33" xfId="0" applyFont="1" applyBorder="1" applyAlignment="1">
      <alignment wrapText="1"/>
    </xf>
    <xf numFmtId="0" fontId="3" fillId="0" borderId="34" xfId="0" applyFont="1" applyBorder="1"/>
    <xf numFmtId="0" fontId="1" fillId="4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0" borderId="21" xfId="0" applyFont="1" applyBorder="1" applyAlignment="1">
      <alignment horizontal="left" vertical="top"/>
    </xf>
    <xf numFmtId="0" fontId="2" fillId="0" borderId="22" xfId="0" applyFont="1" applyBorder="1"/>
    <xf numFmtId="0" fontId="2" fillId="0" borderId="2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25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9" xfId="0" applyFont="1" applyBorder="1" applyAlignment="1">
      <alignment vertical="top" wrapText="1"/>
    </xf>
    <xf numFmtId="0" fontId="3" fillId="0" borderId="15" xfId="0" applyFont="1" applyBorder="1" applyAlignment="1">
      <alignment vertical="top"/>
    </xf>
    <xf numFmtId="0" fontId="2" fillId="0" borderId="16" xfId="0" applyFont="1" applyBorder="1"/>
    <xf numFmtId="0" fontId="2" fillId="0" borderId="17" xfId="0" applyFont="1" applyBorder="1"/>
    <xf numFmtId="0" fontId="1" fillId="0" borderId="18" xfId="0" applyFont="1" applyBorder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2" fillId="0" borderId="24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0" borderId="30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5" fillId="2" borderId="4" xfId="0" applyFont="1" applyFill="1" applyBorder="1" applyAlignment="1">
      <alignment horizontal="center"/>
    </xf>
    <xf numFmtId="0" fontId="3" fillId="0" borderId="7" xfId="0" applyFont="1" applyBorder="1" applyAlignment="1">
      <alignment vertical="top"/>
    </xf>
    <xf numFmtId="0" fontId="3" fillId="0" borderId="15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center" wrapText="1"/>
    </xf>
    <xf numFmtId="0" fontId="1" fillId="0" borderId="0" xfId="0" applyFont="1"/>
    <xf numFmtId="0" fontId="3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37" xfId="0" applyFont="1" applyBorder="1"/>
    <xf numFmtId="0" fontId="1" fillId="0" borderId="36" xfId="0" applyFont="1" applyBorder="1" applyAlignment="1">
      <alignment horizontal="center" vertical="center"/>
    </xf>
    <xf numFmtId="0" fontId="2" fillId="0" borderId="38" xfId="0" applyFont="1" applyBorder="1"/>
    <xf numFmtId="0" fontId="2" fillId="0" borderId="39" xfId="0" applyFont="1" applyBorder="1"/>
    <xf numFmtId="0" fontId="3" fillId="0" borderId="7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top"/>
    </xf>
    <xf numFmtId="0" fontId="1" fillId="0" borderId="18" xfId="0" applyFont="1" applyBorder="1" applyAlignment="1">
      <alignment horizontal="center" wrapText="1"/>
    </xf>
    <xf numFmtId="0" fontId="2" fillId="0" borderId="33" xfId="0" applyFont="1" applyBorder="1"/>
    <xf numFmtId="0" fontId="2" fillId="0" borderId="41" xfId="0" applyFont="1" applyBorder="1"/>
    <xf numFmtId="0" fontId="1" fillId="0" borderId="18" xfId="0" applyFont="1" applyBorder="1" applyAlignment="1">
      <alignment horizontal="left" wrapText="1"/>
    </xf>
    <xf numFmtId="0" fontId="2" fillId="0" borderId="40" xfId="0" applyFont="1" applyBorder="1"/>
    <xf numFmtId="0" fontId="1" fillId="2" borderId="4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center" wrapText="1"/>
    </xf>
    <xf numFmtId="0" fontId="2" fillId="0" borderId="45" xfId="0" applyFont="1" applyBorder="1"/>
    <xf numFmtId="0" fontId="1" fillId="0" borderId="18" xfId="0" applyFont="1" applyBorder="1" applyAlignment="1">
      <alignment horizontal="left" vertical="top" wrapText="1"/>
    </xf>
    <xf numFmtId="0" fontId="2" fillId="0" borderId="46" xfId="0" applyFont="1" applyBorder="1"/>
    <xf numFmtId="0" fontId="3" fillId="0" borderId="15" xfId="0" applyFont="1" applyBorder="1" applyAlignment="1">
      <alignment vertical="top" wrapText="1"/>
    </xf>
    <xf numFmtId="0" fontId="1" fillId="2" borderId="47" xfId="0" applyFont="1" applyFill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1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1</xdr:row>
      <xdr:rowOff>57150</xdr:rowOff>
    </xdr:from>
    <xdr:ext cx="1781175" cy="1095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60175" y="3235885"/>
          <a:ext cx="1771650" cy="108823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2428875</xdr:colOff>
      <xdr:row>1</xdr:row>
      <xdr:rowOff>19050</xdr:rowOff>
    </xdr:from>
    <xdr:ext cx="1781175" cy="1095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460175" y="3235885"/>
          <a:ext cx="1771650" cy="108823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1</xdr:row>
      <xdr:rowOff>66675</xdr:rowOff>
    </xdr:from>
    <xdr:ext cx="1781175" cy="1095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460175" y="3235885"/>
          <a:ext cx="1771650" cy="108823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</xdr:row>
      <xdr:rowOff>76200</xdr:rowOff>
    </xdr:from>
    <xdr:ext cx="17811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460175" y="3232075"/>
          <a:ext cx="1771650" cy="109585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485775</xdr:colOff>
      <xdr:row>1</xdr:row>
      <xdr:rowOff>9525</xdr:rowOff>
    </xdr:from>
    <xdr:ext cx="1781175" cy="11049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460175" y="3232075"/>
          <a:ext cx="1771650" cy="109585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2</xdr:row>
      <xdr:rowOff>38100</xdr:rowOff>
    </xdr:from>
    <xdr:ext cx="1781175" cy="11049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460175" y="3232075"/>
          <a:ext cx="1771650" cy="109585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2</xdr:row>
      <xdr:rowOff>66675</xdr:rowOff>
    </xdr:from>
    <xdr:ext cx="1781175" cy="11049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4460175" y="3232075"/>
          <a:ext cx="1771650" cy="109585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1</xdr:row>
      <xdr:rowOff>104775</xdr:rowOff>
    </xdr:from>
    <xdr:ext cx="1781175" cy="11049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4460175" y="3232075"/>
          <a:ext cx="1771650" cy="109585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0</xdr:row>
      <xdr:rowOff>180975</xdr:rowOff>
    </xdr:from>
    <xdr:ext cx="1781175" cy="1095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4460175" y="3232710"/>
          <a:ext cx="1771650" cy="109458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</xdr:colOff>
      <xdr:row>1</xdr:row>
      <xdr:rowOff>104775</xdr:rowOff>
    </xdr:from>
    <xdr:ext cx="1781175" cy="1104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4460175" y="3232075"/>
          <a:ext cx="1771650" cy="1095851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Teknik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Observasi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Wawancara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Dokumen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Perintah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 Gabungan 1,2,3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4" workbookViewId="0">
      <selection activeCell="H37" sqref="H37"/>
    </sheetView>
  </sheetViews>
  <sheetFormatPr defaultColWidth="14.42578125" defaultRowHeight="15" customHeight="1" x14ac:dyDescent="0.25"/>
  <cols>
    <col min="1" max="1" width="12.7109375" customWidth="1"/>
    <col min="2" max="2" width="3.7109375" customWidth="1"/>
    <col min="3" max="3" width="37.140625" customWidth="1"/>
    <col min="4" max="4" width="8.85546875" customWidth="1"/>
    <col min="5" max="5" width="7.28515625" customWidth="1"/>
    <col min="6" max="6" width="7.5703125" customWidth="1"/>
    <col min="7" max="7" width="6.5703125" customWidth="1"/>
    <col min="8" max="8" width="9.140625" customWidth="1"/>
    <col min="9" max="26" width="8" customWidth="1"/>
  </cols>
  <sheetData>
    <row r="1" spans="1:26" ht="12.75" customHeight="1" x14ac:dyDescent="0.25">
      <c r="A1" s="65" t="s">
        <v>0</v>
      </c>
      <c r="B1" s="66"/>
      <c r="C1" s="66"/>
      <c r="D1" s="66"/>
      <c r="E1" s="66"/>
      <c r="F1" s="66"/>
      <c r="G1" s="6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1</v>
      </c>
      <c r="B3" s="1" t="s">
        <v>2</v>
      </c>
      <c r="C3" s="68"/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3</v>
      </c>
      <c r="B4" s="1" t="s">
        <v>2</v>
      </c>
      <c r="C4" s="68"/>
      <c r="D4" s="69"/>
      <c r="E4" s="69"/>
      <c r="F4" s="69"/>
      <c r="G4" s="6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4</v>
      </c>
      <c r="B5" s="1" t="s">
        <v>2</v>
      </c>
      <c r="C5" s="68"/>
      <c r="D5" s="69"/>
      <c r="E5" s="69"/>
      <c r="F5" s="69"/>
      <c r="G5" s="6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5</v>
      </c>
      <c r="B6" s="1" t="s">
        <v>2</v>
      </c>
      <c r="C6" s="68"/>
      <c r="D6" s="69"/>
      <c r="E6" s="69"/>
      <c r="F6" s="69"/>
      <c r="G6" s="6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 t="s">
        <v>6</v>
      </c>
      <c r="B7" s="1" t="s">
        <v>2</v>
      </c>
      <c r="C7" s="68"/>
      <c r="D7" s="69"/>
      <c r="E7" s="69"/>
      <c r="F7" s="69"/>
      <c r="G7" s="6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3"/>
      <c r="D10" s="3"/>
      <c r="E10" s="3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3"/>
      <c r="D14" s="3"/>
      <c r="E14" s="3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5">
      <c r="A15" s="81" t="s">
        <v>12</v>
      </c>
      <c r="B15" s="82"/>
      <c r="C15" s="82"/>
      <c r="D15" s="82"/>
      <c r="E15" s="82"/>
      <c r="F15" s="82"/>
      <c r="G15" s="8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4" t="s">
        <v>13</v>
      </c>
      <c r="B16" s="5"/>
      <c r="C16" s="6"/>
      <c r="D16" s="5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25" customHeight="1" x14ac:dyDescent="0.25">
      <c r="A17" s="84" t="s">
        <v>14</v>
      </c>
      <c r="B17" s="76"/>
      <c r="C17" s="76"/>
      <c r="D17" s="76"/>
      <c r="E17" s="76"/>
      <c r="F17" s="76"/>
      <c r="G17" s="7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25">
      <c r="A18" s="8" t="s">
        <v>15</v>
      </c>
      <c r="B18" s="9" t="s">
        <v>16</v>
      </c>
      <c r="C18" s="10" t="s">
        <v>17</v>
      </c>
      <c r="D18" s="9" t="s">
        <v>18</v>
      </c>
      <c r="E18" s="9" t="s">
        <v>19</v>
      </c>
      <c r="F18" s="11" t="s">
        <v>20</v>
      </c>
      <c r="G18" s="12" t="s">
        <v>21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 x14ac:dyDescent="0.25">
      <c r="A19" s="85" t="s">
        <v>22</v>
      </c>
      <c r="B19" s="9">
        <v>1</v>
      </c>
      <c r="C19" s="13" t="s">
        <v>23</v>
      </c>
      <c r="D19" s="9">
        <v>100</v>
      </c>
      <c r="E19" s="9">
        <v>4</v>
      </c>
      <c r="F19" s="14">
        <v>0</v>
      </c>
      <c r="G19" s="12">
        <f t="shared" ref="G19:G36" si="0">+D19*F19</f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75" customHeight="1" x14ac:dyDescent="0.25">
      <c r="A20" s="86"/>
      <c r="B20" s="9">
        <v>2</v>
      </c>
      <c r="C20" s="13" t="s">
        <v>24</v>
      </c>
      <c r="D20" s="9">
        <v>100</v>
      </c>
      <c r="E20" s="9">
        <v>4</v>
      </c>
      <c r="F20" s="14">
        <v>1</v>
      </c>
      <c r="G20" s="12">
        <f t="shared" si="0"/>
        <v>100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75" customHeight="1" x14ac:dyDescent="0.25">
      <c r="A21" s="86"/>
      <c r="B21" s="9">
        <v>3</v>
      </c>
      <c r="C21" s="13" t="s">
        <v>25</v>
      </c>
      <c r="D21" s="9">
        <v>100</v>
      </c>
      <c r="E21" s="9">
        <v>4</v>
      </c>
      <c r="F21" s="14">
        <v>0</v>
      </c>
      <c r="G21" s="12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86"/>
      <c r="B22" s="9">
        <v>4</v>
      </c>
      <c r="C22" s="13" t="s">
        <v>26</v>
      </c>
      <c r="D22" s="9">
        <v>100</v>
      </c>
      <c r="E22" s="9">
        <v>4</v>
      </c>
      <c r="F22" s="14">
        <v>1</v>
      </c>
      <c r="G22" s="12">
        <f t="shared" si="0"/>
        <v>100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87"/>
      <c r="B23" s="9">
        <v>5</v>
      </c>
      <c r="C23" s="13" t="s">
        <v>27</v>
      </c>
      <c r="D23" s="9">
        <v>100</v>
      </c>
      <c r="E23" s="9">
        <v>4</v>
      </c>
      <c r="F23" s="14">
        <v>0</v>
      </c>
      <c r="G23" s="12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75" customHeight="1" x14ac:dyDescent="0.25">
      <c r="A24" s="85" t="s">
        <v>28</v>
      </c>
      <c r="B24" s="9">
        <v>1</v>
      </c>
      <c r="C24" s="13" t="s">
        <v>29</v>
      </c>
      <c r="D24" s="9">
        <v>60</v>
      </c>
      <c r="E24" s="9">
        <v>4</v>
      </c>
      <c r="F24" s="14">
        <v>0</v>
      </c>
      <c r="G24" s="12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86"/>
      <c r="B25" s="9">
        <v>2</v>
      </c>
      <c r="C25" s="13" t="s">
        <v>30</v>
      </c>
      <c r="D25" s="9">
        <v>15</v>
      </c>
      <c r="E25" s="9">
        <v>4</v>
      </c>
      <c r="F25" s="14">
        <v>0</v>
      </c>
      <c r="G25" s="12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86"/>
      <c r="B26" s="9">
        <v>3</v>
      </c>
      <c r="C26" s="13" t="s">
        <v>31</v>
      </c>
      <c r="D26" s="9">
        <v>15</v>
      </c>
      <c r="E26" s="9">
        <v>4</v>
      </c>
      <c r="F26" s="14">
        <v>0</v>
      </c>
      <c r="G26" s="12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86"/>
      <c r="B27" s="9">
        <v>4</v>
      </c>
      <c r="C27" s="13" t="s">
        <v>32</v>
      </c>
      <c r="D27" s="9">
        <v>15</v>
      </c>
      <c r="E27" s="9">
        <v>1</v>
      </c>
      <c r="F27" s="14">
        <v>0</v>
      </c>
      <c r="G27" s="12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5">
      <c r="A28" s="86"/>
      <c r="B28" s="9">
        <v>5</v>
      </c>
      <c r="C28" s="13" t="s">
        <v>33</v>
      </c>
      <c r="D28" s="9">
        <v>15</v>
      </c>
      <c r="E28" s="9">
        <v>1</v>
      </c>
      <c r="F28" s="14">
        <v>0</v>
      </c>
      <c r="G28" s="12">
        <f t="shared" si="0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86"/>
      <c r="B29" s="9">
        <v>6</v>
      </c>
      <c r="C29" s="13" t="s">
        <v>34</v>
      </c>
      <c r="D29" s="9">
        <v>15</v>
      </c>
      <c r="E29" s="9">
        <v>1</v>
      </c>
      <c r="F29" s="14">
        <v>0</v>
      </c>
      <c r="G29" s="12">
        <f t="shared" si="0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86"/>
      <c r="B30" s="9">
        <v>7</v>
      </c>
      <c r="C30" s="13" t="s">
        <v>35</v>
      </c>
      <c r="D30" s="9">
        <v>15</v>
      </c>
      <c r="E30" s="9">
        <v>1</v>
      </c>
      <c r="F30" s="14">
        <v>1</v>
      </c>
      <c r="G30" s="12">
        <f t="shared" si="0"/>
        <v>15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6.75" customHeight="1" x14ac:dyDescent="0.25">
      <c r="A31" s="86"/>
      <c r="B31" s="9">
        <v>8</v>
      </c>
      <c r="C31" s="13" t="s">
        <v>36</v>
      </c>
      <c r="D31" s="9">
        <v>20</v>
      </c>
      <c r="E31" s="9">
        <v>4</v>
      </c>
      <c r="F31" s="14">
        <v>0</v>
      </c>
      <c r="G31" s="12">
        <f t="shared" si="0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6.75" customHeight="1" x14ac:dyDescent="0.25">
      <c r="A32" s="86"/>
      <c r="B32" s="9">
        <v>9</v>
      </c>
      <c r="C32" s="13" t="s">
        <v>37</v>
      </c>
      <c r="D32" s="9">
        <v>20</v>
      </c>
      <c r="E32" s="9">
        <v>4</v>
      </c>
      <c r="F32" s="14">
        <v>1</v>
      </c>
      <c r="G32" s="12">
        <f t="shared" si="0"/>
        <v>20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6.75" customHeight="1" x14ac:dyDescent="0.25">
      <c r="A33" s="86"/>
      <c r="B33" s="9">
        <v>10</v>
      </c>
      <c r="C33" s="13" t="s">
        <v>38</v>
      </c>
      <c r="D33" s="9">
        <v>20</v>
      </c>
      <c r="E33" s="9">
        <v>4</v>
      </c>
      <c r="F33" s="14">
        <v>0</v>
      </c>
      <c r="G33" s="12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6.75" customHeight="1" x14ac:dyDescent="0.25">
      <c r="A34" s="86"/>
      <c r="B34" s="9">
        <v>11</v>
      </c>
      <c r="C34" s="13" t="s">
        <v>39</v>
      </c>
      <c r="D34" s="9">
        <v>20</v>
      </c>
      <c r="E34" s="9">
        <v>4</v>
      </c>
      <c r="F34" s="14">
        <v>1</v>
      </c>
      <c r="G34" s="12">
        <f t="shared" si="0"/>
        <v>20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6.75" customHeight="1" x14ac:dyDescent="0.25">
      <c r="A35" s="86"/>
      <c r="B35" s="9">
        <v>12</v>
      </c>
      <c r="C35" s="13" t="s">
        <v>40</v>
      </c>
      <c r="D35" s="9">
        <v>20</v>
      </c>
      <c r="E35" s="9">
        <v>4</v>
      </c>
      <c r="F35" s="14">
        <v>0</v>
      </c>
      <c r="G35" s="12">
        <f t="shared" si="0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5">
      <c r="A36" s="87"/>
      <c r="B36" s="9">
        <v>13</v>
      </c>
      <c r="C36" s="13" t="s">
        <v>41</v>
      </c>
      <c r="D36" s="9">
        <v>20</v>
      </c>
      <c r="E36" s="9">
        <v>4</v>
      </c>
      <c r="F36" s="14">
        <v>1</v>
      </c>
      <c r="G36" s="12">
        <f t="shared" si="0"/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5">
      <c r="A37" s="15"/>
      <c r="B37" s="16"/>
      <c r="C37" s="17"/>
      <c r="D37" s="9"/>
      <c r="E37" s="9"/>
      <c r="F37" s="14"/>
      <c r="G37" s="1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8"/>
      <c r="B38" s="19"/>
      <c r="C38" s="17" t="s">
        <v>42</v>
      </c>
      <c r="D38" s="20"/>
      <c r="E38" s="20"/>
      <c r="F38" s="20">
        <v>0</v>
      </c>
      <c r="G38" s="12">
        <f>SUM(G19:G23)</f>
        <v>200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8"/>
      <c r="B39" s="19"/>
      <c r="C39" s="17" t="s">
        <v>43</v>
      </c>
      <c r="D39" s="20"/>
      <c r="E39" s="20"/>
      <c r="F39" s="20">
        <v>0</v>
      </c>
      <c r="G39" s="12">
        <f>SUM(G24:G36)</f>
        <v>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88" t="s">
        <v>44</v>
      </c>
      <c r="B40" s="79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0"/>
      <c r="B41" s="71"/>
      <c r="C41" s="71"/>
      <c r="D41" s="71"/>
      <c r="E41" s="71"/>
      <c r="F41" s="71"/>
      <c r="G41" s="7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73"/>
      <c r="B42" s="69"/>
      <c r="C42" s="69"/>
      <c r="D42" s="69"/>
      <c r="E42" s="69"/>
      <c r="F42" s="69"/>
      <c r="G42" s="7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.25" customHeight="1" x14ac:dyDescent="0.25">
      <c r="A43" s="75"/>
      <c r="B43" s="76"/>
      <c r="C43" s="76"/>
      <c r="D43" s="76"/>
      <c r="E43" s="76"/>
      <c r="F43" s="76"/>
      <c r="G43" s="7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25" customHeight="1" x14ac:dyDescent="0.25">
      <c r="A44" s="89" t="s">
        <v>45</v>
      </c>
      <c r="B44" s="71"/>
      <c r="C44" s="90"/>
      <c r="D44" s="19" t="s">
        <v>46</v>
      </c>
      <c r="E44" s="78" t="str">
        <f>IF(G38&lt;100,"Tidak teridentifikasi",IF(G38&gt;=100,"Tunanetra total"))</f>
        <v>Tunanetra total</v>
      </c>
      <c r="F44" s="79"/>
      <c r="G44" s="8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25" customHeight="1" x14ac:dyDescent="0.25">
      <c r="A45" s="91"/>
      <c r="B45" s="92"/>
      <c r="C45" s="93"/>
      <c r="D45" s="21" t="s">
        <v>47</v>
      </c>
      <c r="E45" s="94" t="str">
        <f>IF(G39&lt;100,"Tidak teridentifikasi",IF(G39&gt;=100,"Low vision"))</f>
        <v>Tidak teridentifikasi</v>
      </c>
      <c r="F45" s="95"/>
      <c r="G45" s="9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25" customHeight="1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25" customHeight="1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25" customHeight="1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25" customHeight="1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25" customHeight="1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25" customHeight="1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25" customHeight="1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25" customHeight="1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25" customHeight="1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25" customHeight="1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25" customHeight="1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25" customHeight="1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25" customHeight="1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25" customHeight="1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25" customHeight="1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C7:G7"/>
    <mergeCell ref="C8:G8"/>
    <mergeCell ref="A41:G43"/>
    <mergeCell ref="E44:G44"/>
    <mergeCell ref="C9:G9"/>
    <mergeCell ref="A15:G15"/>
    <mergeCell ref="A17:G17"/>
    <mergeCell ref="A19:A23"/>
    <mergeCell ref="A24:A36"/>
    <mergeCell ref="A40:G40"/>
    <mergeCell ref="A44:C45"/>
    <mergeCell ref="E45:G45"/>
    <mergeCell ref="A1:G1"/>
    <mergeCell ref="C3:G3"/>
    <mergeCell ref="C4:G4"/>
    <mergeCell ref="C5:G5"/>
    <mergeCell ref="C6:G6"/>
  </mergeCells>
  <printOptions gridLines="1"/>
  <pageMargins left="0.70866141732283505" right="0.70866141732283505" top="0.74803149606299202" bottom="0.74803149606299202" header="0" footer="0"/>
  <pageSetup paperSize="9" orientation="portrait"/>
  <headerFooter>
    <oddFooter>&amp;Csubagya/psd/lppm/uns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6.7109375" customWidth="1"/>
    <col min="4" max="7" width="8" customWidth="1"/>
  </cols>
  <sheetData>
    <row r="1" spans="1:7" x14ac:dyDescent="0.25">
      <c r="A1" s="65" t="s">
        <v>0</v>
      </c>
      <c r="B1" s="66"/>
      <c r="C1" s="66"/>
      <c r="D1" s="66"/>
      <c r="E1" s="66"/>
      <c r="F1" s="66"/>
      <c r="G1" s="67"/>
    </row>
    <row r="2" spans="1:7" x14ac:dyDescent="0.25">
      <c r="A2" s="1"/>
      <c r="B2" s="1"/>
      <c r="C2" s="2"/>
      <c r="D2" s="1"/>
      <c r="E2" s="1"/>
      <c r="F2" s="1"/>
      <c r="G2" s="1"/>
    </row>
    <row r="3" spans="1:7" x14ac:dyDescent="0.25">
      <c r="A3" s="1" t="s">
        <v>1</v>
      </c>
      <c r="B3" s="1" t="s">
        <v>2</v>
      </c>
      <c r="C3" s="68"/>
      <c r="D3" s="69"/>
      <c r="E3" s="69"/>
      <c r="F3" s="69"/>
      <c r="G3" s="69"/>
    </row>
    <row r="4" spans="1:7" x14ac:dyDescent="0.25">
      <c r="A4" s="1" t="s">
        <v>3</v>
      </c>
      <c r="B4" s="1" t="s">
        <v>2</v>
      </c>
      <c r="C4" s="68"/>
      <c r="D4" s="69"/>
      <c r="E4" s="69"/>
      <c r="F4" s="69"/>
      <c r="G4" s="69"/>
    </row>
    <row r="5" spans="1:7" x14ac:dyDescent="0.25">
      <c r="A5" s="1" t="s">
        <v>4</v>
      </c>
      <c r="B5" s="1" t="s">
        <v>2</v>
      </c>
      <c r="C5" s="68"/>
      <c r="D5" s="69"/>
      <c r="E5" s="69"/>
      <c r="F5" s="69"/>
      <c r="G5" s="69"/>
    </row>
    <row r="6" spans="1:7" x14ac:dyDescent="0.25">
      <c r="A6" s="1" t="s">
        <v>5</v>
      </c>
      <c r="B6" s="1" t="s">
        <v>2</v>
      </c>
      <c r="C6" s="68"/>
      <c r="D6" s="69"/>
      <c r="E6" s="69"/>
      <c r="F6" s="69"/>
      <c r="G6" s="69"/>
    </row>
    <row r="7" spans="1:7" x14ac:dyDescent="0.25">
      <c r="A7" s="1" t="s">
        <v>6</v>
      </c>
      <c r="B7" s="1" t="s">
        <v>2</v>
      </c>
      <c r="C7" s="68"/>
      <c r="D7" s="69"/>
      <c r="E7" s="69"/>
      <c r="F7" s="69"/>
      <c r="G7" s="69"/>
    </row>
    <row r="8" spans="1:7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x14ac:dyDescent="0.25">
      <c r="A10" s="1"/>
      <c r="B10" s="1"/>
      <c r="C10" s="3"/>
      <c r="D10" s="3"/>
      <c r="E10" s="3"/>
      <c r="F10" s="3"/>
      <c r="G10" s="3"/>
    </row>
    <row r="11" spans="1:7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6" spans="1:7" ht="16.5" x14ac:dyDescent="0.3">
      <c r="A16" s="97" t="s">
        <v>48</v>
      </c>
      <c r="B16" s="82"/>
      <c r="C16" s="82"/>
      <c r="D16" s="82"/>
      <c r="E16" s="82"/>
      <c r="F16" s="82"/>
      <c r="G16" s="83"/>
    </row>
    <row r="17" spans="1:7" x14ac:dyDescent="0.25">
      <c r="A17" s="4" t="s">
        <v>13</v>
      </c>
      <c r="B17" s="5"/>
      <c r="C17" s="6"/>
      <c r="D17" s="5"/>
      <c r="E17" s="1"/>
      <c r="F17" s="1"/>
      <c r="G17" s="7"/>
    </row>
    <row r="18" spans="1:7" x14ac:dyDescent="0.25">
      <c r="A18" s="84" t="s">
        <v>14</v>
      </c>
      <c r="B18" s="76"/>
      <c r="C18" s="76"/>
      <c r="D18" s="76"/>
      <c r="E18" s="76"/>
      <c r="F18" s="76"/>
      <c r="G18" s="77"/>
    </row>
    <row r="19" spans="1:7" x14ac:dyDescent="0.25">
      <c r="A19" s="98"/>
      <c r="B19" s="69"/>
      <c r="C19" s="69"/>
      <c r="D19" s="69"/>
      <c r="E19" s="69"/>
      <c r="F19" s="69"/>
      <c r="G19" s="74"/>
    </row>
    <row r="20" spans="1:7" ht="38.25" customHeight="1" x14ac:dyDescent="0.25">
      <c r="A20" s="22" t="s">
        <v>15</v>
      </c>
      <c r="B20" s="23" t="s">
        <v>16</v>
      </c>
      <c r="C20" s="24" t="s">
        <v>17</v>
      </c>
      <c r="D20" s="25" t="s">
        <v>18</v>
      </c>
      <c r="E20" s="25" t="s">
        <v>19</v>
      </c>
      <c r="F20" s="26" t="s">
        <v>49</v>
      </c>
      <c r="G20" s="27" t="s">
        <v>50</v>
      </c>
    </row>
    <row r="21" spans="1:7" ht="15.75" customHeight="1" x14ac:dyDescent="0.25">
      <c r="A21" s="99" t="s">
        <v>51</v>
      </c>
      <c r="B21" s="28">
        <v>1</v>
      </c>
      <c r="C21" s="13" t="s">
        <v>52</v>
      </c>
      <c r="D21" s="29">
        <v>100</v>
      </c>
      <c r="E21" s="29">
        <v>4</v>
      </c>
      <c r="F21" s="30">
        <v>0</v>
      </c>
      <c r="G21" s="31">
        <f t="shared" ref="G21:G29" si="0">+D21*F21</f>
        <v>0</v>
      </c>
    </row>
    <row r="22" spans="1:7" ht="15.75" customHeight="1" x14ac:dyDescent="0.25">
      <c r="A22" s="87"/>
      <c r="B22" s="28">
        <v>2</v>
      </c>
      <c r="C22" s="32" t="s">
        <v>53</v>
      </c>
      <c r="D22" s="29">
        <v>100</v>
      </c>
      <c r="E22" s="29">
        <v>4</v>
      </c>
      <c r="F22" s="30">
        <v>0</v>
      </c>
      <c r="G22" s="31">
        <f t="shared" si="0"/>
        <v>0</v>
      </c>
    </row>
    <row r="23" spans="1:7" ht="15.75" customHeight="1" x14ac:dyDescent="0.25">
      <c r="A23" s="100" t="s">
        <v>54</v>
      </c>
      <c r="B23" s="28">
        <v>1</v>
      </c>
      <c r="C23" s="13" t="s">
        <v>55</v>
      </c>
      <c r="D23" s="29">
        <v>60</v>
      </c>
      <c r="E23" s="29">
        <v>4</v>
      </c>
      <c r="F23" s="30">
        <v>0</v>
      </c>
      <c r="G23" s="31">
        <f t="shared" si="0"/>
        <v>0</v>
      </c>
    </row>
    <row r="24" spans="1:7" ht="15.75" customHeight="1" x14ac:dyDescent="0.25">
      <c r="A24" s="86"/>
      <c r="B24" s="28">
        <v>2</v>
      </c>
      <c r="C24" s="13" t="s">
        <v>56</v>
      </c>
      <c r="D24" s="29">
        <v>10</v>
      </c>
      <c r="E24" s="29">
        <v>4</v>
      </c>
      <c r="F24" s="30">
        <v>0</v>
      </c>
      <c r="G24" s="31">
        <f t="shared" si="0"/>
        <v>0</v>
      </c>
    </row>
    <row r="25" spans="1:7" ht="15.75" customHeight="1" x14ac:dyDescent="0.25">
      <c r="A25" s="86"/>
      <c r="B25" s="28">
        <v>3</v>
      </c>
      <c r="C25" s="13" t="s">
        <v>57</v>
      </c>
      <c r="D25" s="29">
        <v>20</v>
      </c>
      <c r="E25" s="29">
        <v>1</v>
      </c>
      <c r="F25" s="30">
        <v>0</v>
      </c>
      <c r="G25" s="31">
        <f t="shared" si="0"/>
        <v>0</v>
      </c>
    </row>
    <row r="26" spans="1:7" ht="15.75" customHeight="1" x14ac:dyDescent="0.25">
      <c r="A26" s="86"/>
      <c r="B26" s="28">
        <v>4</v>
      </c>
      <c r="C26" s="13" t="s">
        <v>58</v>
      </c>
      <c r="D26" s="29">
        <v>60</v>
      </c>
      <c r="E26" s="29">
        <v>4</v>
      </c>
      <c r="F26" s="30">
        <v>0</v>
      </c>
      <c r="G26" s="31">
        <f t="shared" si="0"/>
        <v>0</v>
      </c>
    </row>
    <row r="27" spans="1:7" ht="15.75" customHeight="1" x14ac:dyDescent="0.25">
      <c r="A27" s="86"/>
      <c r="B27" s="28">
        <v>5</v>
      </c>
      <c r="C27" s="13" t="s">
        <v>59</v>
      </c>
      <c r="D27" s="29">
        <v>40</v>
      </c>
      <c r="E27" s="29">
        <v>2</v>
      </c>
      <c r="F27" s="30">
        <v>0</v>
      </c>
      <c r="G27" s="31">
        <f t="shared" si="0"/>
        <v>0</v>
      </c>
    </row>
    <row r="28" spans="1:7" ht="15.75" customHeight="1" x14ac:dyDescent="0.25">
      <c r="A28" s="86"/>
      <c r="B28" s="28">
        <v>6</v>
      </c>
      <c r="C28" s="13" t="s">
        <v>60</v>
      </c>
      <c r="D28" s="29">
        <v>40</v>
      </c>
      <c r="E28" s="29">
        <v>4</v>
      </c>
      <c r="F28" s="30">
        <v>0</v>
      </c>
      <c r="G28" s="31">
        <f t="shared" si="0"/>
        <v>0</v>
      </c>
    </row>
    <row r="29" spans="1:7" ht="15.75" customHeight="1" x14ac:dyDescent="0.25">
      <c r="A29" s="87"/>
      <c r="B29" s="28">
        <v>7</v>
      </c>
      <c r="C29" s="13" t="s">
        <v>61</v>
      </c>
      <c r="D29" s="29">
        <v>20</v>
      </c>
      <c r="E29" s="29">
        <v>4</v>
      </c>
      <c r="F29" s="30">
        <v>0</v>
      </c>
      <c r="G29" s="31">
        <f t="shared" si="0"/>
        <v>0</v>
      </c>
    </row>
    <row r="30" spans="1:7" ht="15.75" customHeight="1" x14ac:dyDescent="0.25">
      <c r="A30" s="18"/>
      <c r="B30" s="19"/>
      <c r="C30" s="33" t="s">
        <v>42</v>
      </c>
      <c r="D30" s="19"/>
      <c r="E30" s="19"/>
      <c r="F30" s="19">
        <v>0</v>
      </c>
      <c r="G30" s="31">
        <f>SUM(G21:G22)</f>
        <v>0</v>
      </c>
    </row>
    <row r="31" spans="1:7" ht="15.75" customHeight="1" x14ac:dyDescent="0.25">
      <c r="A31" s="34"/>
      <c r="B31" s="19"/>
      <c r="C31" s="33" t="s">
        <v>62</v>
      </c>
      <c r="D31" s="19"/>
      <c r="E31" s="19"/>
      <c r="F31" s="19">
        <v>0</v>
      </c>
      <c r="G31" s="31">
        <f>SUM(G23:G29)</f>
        <v>0</v>
      </c>
    </row>
    <row r="32" spans="1:7" ht="15.75" customHeight="1" x14ac:dyDescent="0.25">
      <c r="A32" s="88" t="s">
        <v>63</v>
      </c>
      <c r="B32" s="79"/>
      <c r="C32" s="79"/>
      <c r="D32" s="79"/>
      <c r="E32" s="79"/>
      <c r="F32" s="79"/>
      <c r="G32" s="80"/>
    </row>
    <row r="33" spans="1:7" ht="15.75" customHeight="1" x14ac:dyDescent="0.25">
      <c r="A33" s="70"/>
      <c r="B33" s="71"/>
      <c r="C33" s="71"/>
      <c r="D33" s="71"/>
      <c r="E33" s="71"/>
      <c r="F33" s="71"/>
      <c r="G33" s="72"/>
    </row>
    <row r="34" spans="1:7" ht="15.75" customHeight="1" x14ac:dyDescent="0.25">
      <c r="A34" s="73"/>
      <c r="B34" s="69"/>
      <c r="C34" s="69"/>
      <c r="D34" s="69"/>
      <c r="E34" s="69"/>
      <c r="F34" s="69"/>
      <c r="G34" s="74"/>
    </row>
    <row r="35" spans="1:7" ht="15.75" customHeight="1" x14ac:dyDescent="0.25">
      <c r="A35" s="75"/>
      <c r="B35" s="76"/>
      <c r="C35" s="76"/>
      <c r="D35" s="76"/>
      <c r="E35" s="76"/>
      <c r="F35" s="76"/>
      <c r="G35" s="77"/>
    </row>
    <row r="36" spans="1:7" ht="15.75" customHeight="1" x14ac:dyDescent="0.25">
      <c r="A36" s="102" t="s">
        <v>45</v>
      </c>
      <c r="B36" s="71"/>
      <c r="C36" s="90"/>
      <c r="D36" s="19" t="s">
        <v>64</v>
      </c>
      <c r="E36" s="78" t="str">
        <f>IF(G30&lt;100,"Tidak teridentifikasi",IF(G30&gt;=100,"Tunarungu berat/menyeluruh"))</f>
        <v>Tidak teridentifikasi</v>
      </c>
      <c r="F36" s="79"/>
      <c r="G36" s="80"/>
    </row>
    <row r="37" spans="1:7" ht="15.75" customHeight="1" x14ac:dyDescent="0.25">
      <c r="A37" s="91"/>
      <c r="B37" s="92"/>
      <c r="C37" s="93"/>
      <c r="D37" s="21" t="s">
        <v>47</v>
      </c>
      <c r="E37" s="94" t="str">
        <f>IF(G31&lt;100,"Tidak teridentifikasi",IF(G31&gt;=100,"Tunarungu sebagian"))</f>
        <v>Tidak teridentifikasi</v>
      </c>
      <c r="F37" s="95"/>
      <c r="G37" s="96"/>
    </row>
    <row r="38" spans="1:7" ht="15.75" customHeight="1" x14ac:dyDescent="0.25">
      <c r="A38" s="1"/>
      <c r="B38" s="1"/>
      <c r="C38" s="2"/>
      <c r="D38" s="101"/>
      <c r="E38" s="69"/>
      <c r="F38" s="5"/>
      <c r="G38" s="1"/>
    </row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1:7" ht="15.75" customHeight="1" x14ac:dyDescent="0.25"/>
    <row r="66" spans="1:7" ht="15.75" customHeight="1" x14ac:dyDescent="0.25">
      <c r="A66" s="1"/>
      <c r="B66" s="1"/>
      <c r="C66" s="2"/>
      <c r="D66" s="101"/>
      <c r="E66" s="69"/>
      <c r="F66" s="101"/>
      <c r="G66" s="69"/>
    </row>
    <row r="67" spans="1:7" ht="15.75" customHeight="1" x14ac:dyDescent="0.25">
      <c r="A67" s="1"/>
      <c r="B67" s="1"/>
      <c r="C67" s="2"/>
      <c r="D67" s="101"/>
      <c r="E67" s="69"/>
      <c r="F67" s="101"/>
      <c r="G67" s="69"/>
    </row>
    <row r="68" spans="1:7" ht="15.75" customHeight="1" x14ac:dyDescent="0.25"/>
    <row r="69" spans="1:7" ht="15.75" customHeight="1" x14ac:dyDescent="0.25"/>
    <row r="70" spans="1:7" ht="15.75" customHeight="1" x14ac:dyDescent="0.25"/>
    <row r="71" spans="1:7" ht="15.75" customHeight="1" x14ac:dyDescent="0.25"/>
    <row r="72" spans="1:7" ht="15.75" customHeight="1" x14ac:dyDescent="0.25"/>
    <row r="73" spans="1:7" ht="15.75" customHeight="1" x14ac:dyDescent="0.25"/>
    <row r="74" spans="1:7" ht="15.75" customHeight="1" x14ac:dyDescent="0.25"/>
    <row r="75" spans="1:7" ht="15.75" customHeight="1" x14ac:dyDescent="0.25"/>
    <row r="76" spans="1:7" ht="15.75" customHeight="1" x14ac:dyDescent="0.25"/>
    <row r="77" spans="1:7" ht="15.75" customHeight="1" x14ac:dyDescent="0.25"/>
    <row r="78" spans="1:7" ht="15.75" customHeight="1" x14ac:dyDescent="0.25"/>
    <row r="79" spans="1:7" ht="15.75" customHeight="1" x14ac:dyDescent="0.25"/>
    <row r="80" spans="1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A19:G19"/>
    <mergeCell ref="A21:A22"/>
    <mergeCell ref="A23:A29"/>
    <mergeCell ref="A32:G32"/>
    <mergeCell ref="D67:E67"/>
    <mergeCell ref="F67:G67"/>
    <mergeCell ref="A33:G35"/>
    <mergeCell ref="A36:C37"/>
    <mergeCell ref="E36:G36"/>
    <mergeCell ref="E37:G37"/>
    <mergeCell ref="D38:E38"/>
    <mergeCell ref="D66:E66"/>
    <mergeCell ref="F66:G66"/>
    <mergeCell ref="C7:G7"/>
    <mergeCell ref="C8:G8"/>
    <mergeCell ref="C9:G9"/>
    <mergeCell ref="A16:G16"/>
    <mergeCell ref="A18:G18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6.7109375" customWidth="1"/>
    <col min="4" max="8" width="8" customWidth="1"/>
  </cols>
  <sheetData>
    <row r="1" spans="1:7" x14ac:dyDescent="0.25">
      <c r="A1" s="65" t="s">
        <v>0</v>
      </c>
      <c r="B1" s="66"/>
      <c r="C1" s="66"/>
      <c r="D1" s="66"/>
      <c r="E1" s="66"/>
      <c r="F1" s="66"/>
      <c r="G1" s="67"/>
    </row>
    <row r="2" spans="1:7" x14ac:dyDescent="0.25">
      <c r="A2" s="1"/>
      <c r="B2" s="1"/>
      <c r="C2" s="2"/>
      <c r="D2" s="1"/>
      <c r="E2" s="1"/>
      <c r="F2" s="1"/>
      <c r="G2" s="1"/>
    </row>
    <row r="3" spans="1:7" x14ac:dyDescent="0.25">
      <c r="A3" s="1" t="s">
        <v>1</v>
      </c>
      <c r="B3" s="1" t="s">
        <v>2</v>
      </c>
      <c r="C3" s="68" t="s">
        <v>65</v>
      </c>
      <c r="D3" s="69"/>
      <c r="E3" s="69"/>
      <c r="F3" s="69"/>
      <c r="G3" s="69"/>
    </row>
    <row r="4" spans="1:7" x14ac:dyDescent="0.25">
      <c r="A4" s="1" t="s">
        <v>3</v>
      </c>
      <c r="B4" s="1" t="s">
        <v>2</v>
      </c>
      <c r="C4" s="68" t="s">
        <v>66</v>
      </c>
      <c r="D4" s="69"/>
      <c r="E4" s="69"/>
      <c r="F4" s="69"/>
      <c r="G4" s="69"/>
    </row>
    <row r="5" spans="1:7" x14ac:dyDescent="0.25">
      <c r="A5" s="1" t="s">
        <v>4</v>
      </c>
      <c r="B5" s="1" t="s">
        <v>2</v>
      </c>
      <c r="C5" s="68" t="s">
        <v>67</v>
      </c>
      <c r="D5" s="69"/>
      <c r="E5" s="69"/>
      <c r="F5" s="69"/>
      <c r="G5" s="69"/>
    </row>
    <row r="6" spans="1:7" x14ac:dyDescent="0.25">
      <c r="A6" s="1" t="s">
        <v>5</v>
      </c>
      <c r="B6" s="1" t="s">
        <v>2</v>
      </c>
      <c r="C6" s="68" t="s">
        <v>68</v>
      </c>
      <c r="D6" s="69"/>
      <c r="E6" s="69"/>
      <c r="F6" s="69"/>
      <c r="G6" s="69"/>
    </row>
    <row r="7" spans="1:7" x14ac:dyDescent="0.25">
      <c r="A7" s="1" t="s">
        <v>6</v>
      </c>
      <c r="B7" s="1" t="s">
        <v>2</v>
      </c>
      <c r="C7" s="68" t="s">
        <v>69</v>
      </c>
      <c r="D7" s="69"/>
      <c r="E7" s="69"/>
      <c r="F7" s="69"/>
      <c r="G7" s="69"/>
    </row>
    <row r="8" spans="1:7" x14ac:dyDescent="0.25">
      <c r="A8" s="1" t="s">
        <v>7</v>
      </c>
      <c r="B8" s="1" t="s">
        <v>2</v>
      </c>
      <c r="C8" s="68" t="s">
        <v>70</v>
      </c>
      <c r="D8" s="69"/>
      <c r="E8" s="69"/>
      <c r="F8" s="69"/>
      <c r="G8" s="69"/>
    </row>
    <row r="9" spans="1:7" x14ac:dyDescent="0.25">
      <c r="A9" s="1" t="s">
        <v>8</v>
      </c>
      <c r="B9" s="1" t="s">
        <v>2</v>
      </c>
      <c r="C9" s="68" t="s">
        <v>71</v>
      </c>
      <c r="D9" s="69"/>
      <c r="E9" s="69"/>
      <c r="F9" s="69"/>
      <c r="G9" s="69"/>
    </row>
    <row r="10" spans="1:7" x14ac:dyDescent="0.25">
      <c r="A10" s="1"/>
      <c r="B10" s="1"/>
      <c r="C10" s="3"/>
      <c r="D10" s="3"/>
      <c r="E10" s="3"/>
      <c r="F10" s="3"/>
      <c r="G10" s="3"/>
    </row>
    <row r="11" spans="1:7" x14ac:dyDescent="0.25">
      <c r="A11" s="1" t="s">
        <v>9</v>
      </c>
      <c r="B11" s="1" t="s">
        <v>2</v>
      </c>
      <c r="C11" s="3">
        <v>46191</v>
      </c>
      <c r="D11" s="3"/>
      <c r="E11" s="3"/>
      <c r="F11" s="3"/>
      <c r="G11" s="3"/>
    </row>
    <row r="12" spans="1:7" x14ac:dyDescent="0.25">
      <c r="A12" s="1" t="s">
        <v>10</v>
      </c>
      <c r="B12" s="1" t="s">
        <v>2</v>
      </c>
      <c r="C12" s="3" t="s">
        <v>72</v>
      </c>
      <c r="D12" s="3"/>
      <c r="E12" s="3"/>
      <c r="F12" s="3"/>
      <c r="G12" s="3"/>
    </row>
    <row r="13" spans="1:7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x14ac:dyDescent="0.25">
      <c r="A14" s="1"/>
      <c r="B14" s="1"/>
      <c r="C14" s="3"/>
      <c r="D14" s="3"/>
      <c r="E14" s="3"/>
      <c r="F14" s="3"/>
      <c r="G14" s="3"/>
    </row>
    <row r="16" spans="1:7" x14ac:dyDescent="0.25">
      <c r="A16" s="81" t="s">
        <v>73</v>
      </c>
      <c r="B16" s="82"/>
      <c r="C16" s="82"/>
      <c r="D16" s="82"/>
      <c r="E16" s="82"/>
      <c r="F16" s="82"/>
      <c r="G16" s="83"/>
    </row>
    <row r="17" spans="1:8" x14ac:dyDescent="0.25">
      <c r="A17" s="4" t="s">
        <v>13</v>
      </c>
      <c r="B17" s="5"/>
      <c r="C17" s="6"/>
      <c r="D17" s="5"/>
      <c r="E17" s="1"/>
      <c r="F17" s="1"/>
      <c r="G17" s="7"/>
    </row>
    <row r="18" spans="1:8" x14ac:dyDescent="0.25">
      <c r="A18" s="84" t="s">
        <v>14</v>
      </c>
      <c r="B18" s="76"/>
      <c r="C18" s="76"/>
      <c r="D18" s="76"/>
      <c r="E18" s="76"/>
      <c r="F18" s="76"/>
      <c r="G18" s="77"/>
    </row>
    <row r="19" spans="1:8" ht="27.75" customHeight="1" x14ac:dyDescent="0.25">
      <c r="A19" s="22" t="s">
        <v>15</v>
      </c>
      <c r="B19" s="23" t="s">
        <v>16</v>
      </c>
      <c r="C19" s="24" t="s">
        <v>17</v>
      </c>
      <c r="D19" s="23" t="s">
        <v>18</v>
      </c>
      <c r="E19" s="23" t="s">
        <v>19</v>
      </c>
      <c r="F19" s="24" t="s">
        <v>74</v>
      </c>
      <c r="G19" s="27" t="s">
        <v>50</v>
      </c>
    </row>
    <row r="20" spans="1:8" x14ac:dyDescent="0.25">
      <c r="A20" s="99" t="str">
        <f>A16</f>
        <v>IDENTIFIKASI HAMBATAN INTELEKTUAL KATEGORI TUNAGRAHITA</v>
      </c>
      <c r="B20" s="20">
        <v>1</v>
      </c>
      <c r="C20" s="32" t="s">
        <v>75</v>
      </c>
      <c r="D20" s="35">
        <v>20</v>
      </c>
      <c r="E20" s="35">
        <v>4</v>
      </c>
      <c r="F20" s="36">
        <v>1</v>
      </c>
      <c r="G20" s="37">
        <f t="shared" ref="G20:G35" si="0">+D20*F20</f>
        <v>20</v>
      </c>
    </row>
    <row r="21" spans="1:8" ht="15.75" customHeight="1" x14ac:dyDescent="0.25">
      <c r="A21" s="86"/>
      <c r="B21" s="20">
        <v>2</v>
      </c>
      <c r="C21" s="32" t="s">
        <v>76</v>
      </c>
      <c r="D21" s="35">
        <v>20</v>
      </c>
      <c r="E21" s="35">
        <v>4</v>
      </c>
      <c r="F21" s="36">
        <v>1</v>
      </c>
      <c r="G21" s="37">
        <f t="shared" si="0"/>
        <v>20</v>
      </c>
    </row>
    <row r="22" spans="1:8" ht="15.75" customHeight="1" x14ac:dyDescent="0.25">
      <c r="A22" s="86"/>
      <c r="B22" s="20">
        <v>3</v>
      </c>
      <c r="C22" s="32" t="s">
        <v>77</v>
      </c>
      <c r="D22" s="35">
        <v>20</v>
      </c>
      <c r="E22" s="35">
        <v>4</v>
      </c>
      <c r="F22" s="36">
        <v>1</v>
      </c>
      <c r="G22" s="37">
        <f t="shared" si="0"/>
        <v>20</v>
      </c>
    </row>
    <row r="23" spans="1:8" ht="15.75" customHeight="1" x14ac:dyDescent="0.25">
      <c r="A23" s="86"/>
      <c r="B23" s="20">
        <v>4</v>
      </c>
      <c r="C23" s="32" t="s">
        <v>78</v>
      </c>
      <c r="D23" s="35">
        <v>20</v>
      </c>
      <c r="E23" s="35">
        <v>4</v>
      </c>
      <c r="F23" s="36">
        <v>1</v>
      </c>
      <c r="G23" s="37">
        <f t="shared" si="0"/>
        <v>20</v>
      </c>
    </row>
    <row r="24" spans="1:8" ht="15.75" customHeight="1" x14ac:dyDescent="0.25">
      <c r="A24" s="86"/>
      <c r="B24" s="20">
        <v>5</v>
      </c>
      <c r="C24" s="32" t="s">
        <v>79</v>
      </c>
      <c r="D24" s="35">
        <v>20</v>
      </c>
      <c r="E24" s="35">
        <v>4</v>
      </c>
      <c r="F24" s="36">
        <v>1</v>
      </c>
      <c r="G24" s="37">
        <f t="shared" si="0"/>
        <v>20</v>
      </c>
    </row>
    <row r="25" spans="1:8" ht="15.75" customHeight="1" x14ac:dyDescent="0.25">
      <c r="A25" s="86"/>
      <c r="B25" s="20">
        <v>6</v>
      </c>
      <c r="C25" s="32" t="s">
        <v>80</v>
      </c>
      <c r="D25" s="35">
        <v>20</v>
      </c>
      <c r="E25" s="35">
        <v>4</v>
      </c>
      <c r="F25" s="36">
        <v>0</v>
      </c>
      <c r="G25" s="37">
        <f t="shared" si="0"/>
        <v>0</v>
      </c>
      <c r="H25" s="38" t="s">
        <v>81</v>
      </c>
    </row>
    <row r="26" spans="1:8" ht="15.75" customHeight="1" x14ac:dyDescent="0.25">
      <c r="A26" s="86"/>
      <c r="B26" s="20">
        <v>7</v>
      </c>
      <c r="C26" s="32" t="s">
        <v>82</v>
      </c>
      <c r="D26" s="35">
        <v>20</v>
      </c>
      <c r="E26" s="35">
        <v>4</v>
      </c>
      <c r="F26" s="36">
        <v>1</v>
      </c>
      <c r="G26" s="37">
        <f t="shared" si="0"/>
        <v>20</v>
      </c>
    </row>
    <row r="27" spans="1:8" ht="15.75" customHeight="1" x14ac:dyDescent="0.25">
      <c r="A27" s="86"/>
      <c r="B27" s="20">
        <v>8</v>
      </c>
      <c r="C27" s="13" t="s">
        <v>83</v>
      </c>
      <c r="D27" s="35">
        <v>5</v>
      </c>
      <c r="E27" s="35">
        <v>1</v>
      </c>
      <c r="F27" s="36">
        <v>0</v>
      </c>
      <c r="G27" s="37">
        <f t="shared" si="0"/>
        <v>0</v>
      </c>
    </row>
    <row r="28" spans="1:8" ht="15.75" customHeight="1" x14ac:dyDescent="0.25">
      <c r="A28" s="86"/>
      <c r="B28" s="20">
        <v>9</v>
      </c>
      <c r="C28" s="13" t="s">
        <v>84</v>
      </c>
      <c r="D28" s="35">
        <v>5</v>
      </c>
      <c r="E28" s="35">
        <v>1</v>
      </c>
      <c r="F28" s="36">
        <v>0</v>
      </c>
      <c r="G28" s="37">
        <f t="shared" si="0"/>
        <v>0</v>
      </c>
    </row>
    <row r="29" spans="1:8" ht="15.75" customHeight="1" x14ac:dyDescent="0.25">
      <c r="A29" s="86"/>
      <c r="B29" s="20">
        <v>10</v>
      </c>
      <c r="C29" s="13" t="s">
        <v>85</v>
      </c>
      <c r="D29" s="35">
        <v>15</v>
      </c>
      <c r="E29" s="35">
        <v>1</v>
      </c>
      <c r="F29" s="36">
        <v>1</v>
      </c>
      <c r="G29" s="37">
        <f t="shared" si="0"/>
        <v>15</v>
      </c>
    </row>
    <row r="30" spans="1:8" ht="15.75" customHeight="1" x14ac:dyDescent="0.25">
      <c r="A30" s="86"/>
      <c r="B30" s="20">
        <v>11</v>
      </c>
      <c r="C30" s="13" t="s">
        <v>86</v>
      </c>
      <c r="D30" s="35">
        <v>15</v>
      </c>
      <c r="E30" s="35">
        <v>1</v>
      </c>
      <c r="F30" s="36">
        <v>1</v>
      </c>
      <c r="G30" s="37">
        <f t="shared" si="0"/>
        <v>15</v>
      </c>
    </row>
    <row r="31" spans="1:8" ht="15.75" customHeight="1" x14ac:dyDescent="0.25">
      <c r="A31" s="86"/>
      <c r="B31" s="20">
        <v>12</v>
      </c>
      <c r="C31" s="13" t="s">
        <v>87</v>
      </c>
      <c r="D31" s="35">
        <v>15</v>
      </c>
      <c r="E31" s="35">
        <v>1</v>
      </c>
      <c r="F31" s="36">
        <v>1</v>
      </c>
      <c r="G31" s="37">
        <f t="shared" si="0"/>
        <v>15</v>
      </c>
    </row>
    <row r="32" spans="1:8" ht="15.75" customHeight="1" x14ac:dyDescent="0.25">
      <c r="A32" s="86"/>
      <c r="B32" s="20">
        <v>13</v>
      </c>
      <c r="C32" s="13" t="s">
        <v>88</v>
      </c>
      <c r="D32" s="35">
        <v>5</v>
      </c>
      <c r="E32" s="35">
        <v>1</v>
      </c>
      <c r="F32" s="36">
        <v>1</v>
      </c>
      <c r="G32" s="37">
        <f t="shared" si="0"/>
        <v>5</v>
      </c>
    </row>
    <row r="33" spans="1:8" ht="15.75" customHeight="1" x14ac:dyDescent="0.25">
      <c r="A33" s="86"/>
      <c r="B33" s="20">
        <v>14</v>
      </c>
      <c r="C33" s="13" t="s">
        <v>89</v>
      </c>
      <c r="D33" s="35">
        <v>5</v>
      </c>
      <c r="E33" s="35">
        <v>1</v>
      </c>
      <c r="F33" s="36">
        <v>0</v>
      </c>
      <c r="G33" s="37">
        <f t="shared" si="0"/>
        <v>0</v>
      </c>
    </row>
    <row r="34" spans="1:8" ht="15.75" customHeight="1" x14ac:dyDescent="0.25">
      <c r="A34" s="86"/>
      <c r="B34" s="20">
        <v>15</v>
      </c>
      <c r="C34" s="13" t="s">
        <v>90</v>
      </c>
      <c r="D34" s="35">
        <v>10</v>
      </c>
      <c r="E34" s="35">
        <v>1</v>
      </c>
      <c r="F34" s="36">
        <v>0</v>
      </c>
      <c r="G34" s="37">
        <f t="shared" si="0"/>
        <v>0</v>
      </c>
    </row>
    <row r="35" spans="1:8" ht="15.75" customHeight="1" x14ac:dyDescent="0.25">
      <c r="A35" s="87"/>
      <c r="B35" s="20">
        <v>16</v>
      </c>
      <c r="C35" s="13" t="s">
        <v>91</v>
      </c>
      <c r="D35" s="35">
        <v>15</v>
      </c>
      <c r="E35" s="35">
        <v>1</v>
      </c>
      <c r="F35" s="36">
        <v>0</v>
      </c>
      <c r="G35" s="37">
        <f t="shared" si="0"/>
        <v>0</v>
      </c>
    </row>
    <row r="36" spans="1:8" ht="15.75" customHeight="1" x14ac:dyDescent="0.25">
      <c r="A36" s="39"/>
      <c r="B36" s="40"/>
      <c r="C36" s="41" t="s">
        <v>92</v>
      </c>
      <c r="D36" s="42"/>
      <c r="E36" s="42"/>
      <c r="F36" s="42"/>
      <c r="G36" s="43">
        <f>SUM(G20:G35)</f>
        <v>170</v>
      </c>
    </row>
    <row r="37" spans="1:8" ht="15.75" customHeight="1" x14ac:dyDescent="0.25">
      <c r="A37" s="88" t="s">
        <v>93</v>
      </c>
      <c r="B37" s="79"/>
      <c r="C37" s="79"/>
      <c r="D37" s="79"/>
      <c r="E37" s="79"/>
      <c r="F37" s="79"/>
      <c r="G37" s="80"/>
    </row>
    <row r="38" spans="1:8" ht="15.75" customHeight="1" x14ac:dyDescent="0.25">
      <c r="A38" s="70" t="s">
        <v>94</v>
      </c>
      <c r="B38" s="71"/>
      <c r="C38" s="71"/>
      <c r="D38" s="71"/>
      <c r="E38" s="71"/>
      <c r="F38" s="71"/>
      <c r="G38" s="72"/>
    </row>
    <row r="39" spans="1:8" ht="15.75" customHeight="1" x14ac:dyDescent="0.25">
      <c r="A39" s="73"/>
      <c r="B39" s="69"/>
      <c r="C39" s="69"/>
      <c r="D39" s="69"/>
      <c r="E39" s="69"/>
      <c r="F39" s="69"/>
      <c r="G39" s="74"/>
    </row>
    <row r="40" spans="1:8" ht="15.75" customHeight="1" x14ac:dyDescent="0.25">
      <c r="A40" s="75"/>
      <c r="B40" s="76"/>
      <c r="C40" s="76"/>
      <c r="D40" s="76"/>
      <c r="E40" s="76"/>
      <c r="F40" s="76"/>
      <c r="G40" s="77"/>
    </row>
    <row r="41" spans="1:8" ht="15.75" customHeight="1" x14ac:dyDescent="0.25">
      <c r="A41" s="102" t="s">
        <v>45</v>
      </c>
      <c r="B41" s="71"/>
      <c r="C41" s="90"/>
      <c r="D41" s="19" t="s">
        <v>95</v>
      </c>
      <c r="E41" s="78" t="str">
        <f>IF(G36&lt;100,"Tidak teridentifikasi",IF(G36&gt;=100,"Tunagrahita"))</f>
        <v>Tunagrahita</v>
      </c>
      <c r="F41" s="79"/>
      <c r="G41" s="80"/>
      <c r="H41" s="38" t="s">
        <v>96</v>
      </c>
    </row>
    <row r="42" spans="1:8" ht="15.75" customHeight="1" x14ac:dyDescent="0.25">
      <c r="A42" s="91"/>
      <c r="B42" s="92"/>
      <c r="C42" s="93"/>
      <c r="D42" s="21"/>
      <c r="E42" s="94"/>
      <c r="F42" s="95"/>
      <c r="G42" s="96"/>
    </row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C7:G7"/>
    <mergeCell ref="C8:G8"/>
    <mergeCell ref="E41:G41"/>
    <mergeCell ref="E42:G42"/>
    <mergeCell ref="C9:G9"/>
    <mergeCell ref="A16:G16"/>
    <mergeCell ref="A18:G18"/>
    <mergeCell ref="A20:A35"/>
    <mergeCell ref="A37:G37"/>
    <mergeCell ref="A38:G40"/>
    <mergeCell ref="A41:C42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6.7109375" customWidth="1"/>
    <col min="4" max="4" width="8.140625" customWidth="1"/>
    <col min="5" max="5" width="7.85546875" customWidth="1"/>
    <col min="6" max="6" width="7.28515625" customWidth="1"/>
    <col min="7" max="26" width="9" customWidth="1"/>
  </cols>
  <sheetData>
    <row r="1" spans="1:7" ht="14.25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14.25" customHeight="1" x14ac:dyDescent="0.25">
      <c r="A2" s="1"/>
      <c r="B2" s="1"/>
      <c r="C2" s="2"/>
      <c r="D2" s="1"/>
      <c r="E2" s="1"/>
      <c r="F2" s="1"/>
      <c r="G2" s="1"/>
    </row>
    <row r="3" spans="1:7" ht="14.25" customHeight="1" x14ac:dyDescent="0.25">
      <c r="A3" s="1" t="s">
        <v>1</v>
      </c>
      <c r="B3" s="1" t="s">
        <v>2</v>
      </c>
      <c r="C3" s="68"/>
      <c r="D3" s="69"/>
      <c r="E3" s="69"/>
      <c r="F3" s="69"/>
      <c r="G3" s="69"/>
    </row>
    <row r="4" spans="1:7" ht="14.25" customHeight="1" x14ac:dyDescent="0.25">
      <c r="A4" s="1" t="s">
        <v>3</v>
      </c>
      <c r="B4" s="1" t="s">
        <v>2</v>
      </c>
      <c r="C4" s="68"/>
      <c r="D4" s="69"/>
      <c r="E4" s="69"/>
      <c r="F4" s="69"/>
      <c r="G4" s="69"/>
    </row>
    <row r="5" spans="1:7" ht="14.25" customHeight="1" x14ac:dyDescent="0.25">
      <c r="A5" s="1" t="s">
        <v>4</v>
      </c>
      <c r="B5" s="1" t="s">
        <v>2</v>
      </c>
      <c r="C5" s="68"/>
      <c r="D5" s="69"/>
      <c r="E5" s="69"/>
      <c r="F5" s="69"/>
      <c r="G5" s="69"/>
    </row>
    <row r="6" spans="1:7" ht="14.25" customHeight="1" x14ac:dyDescent="0.25">
      <c r="A6" s="1" t="s">
        <v>5</v>
      </c>
      <c r="B6" s="1" t="s">
        <v>2</v>
      </c>
      <c r="C6" s="68"/>
      <c r="D6" s="69"/>
      <c r="E6" s="69"/>
      <c r="F6" s="69"/>
      <c r="G6" s="69"/>
    </row>
    <row r="7" spans="1:7" ht="14.25" customHeight="1" x14ac:dyDescent="0.25">
      <c r="A7" s="1" t="s">
        <v>6</v>
      </c>
      <c r="B7" s="1" t="s">
        <v>2</v>
      </c>
      <c r="C7" s="68"/>
      <c r="D7" s="69"/>
      <c r="E7" s="69"/>
      <c r="F7" s="69"/>
      <c r="G7" s="69"/>
    </row>
    <row r="8" spans="1:7" ht="14.2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/>
      <c r="B10" s="1"/>
      <c r="C10" s="3"/>
      <c r="D10" s="3"/>
      <c r="E10" s="3"/>
      <c r="F10" s="3"/>
      <c r="G10" s="3"/>
    </row>
    <row r="11" spans="1:7" ht="14.2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ht="14.2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/>
    <row r="15" spans="1:7" ht="14.25" customHeight="1" x14ac:dyDescent="0.25">
      <c r="A15" s="81" t="s">
        <v>97</v>
      </c>
      <c r="B15" s="82"/>
      <c r="C15" s="82"/>
      <c r="D15" s="82"/>
      <c r="E15" s="82"/>
      <c r="F15" s="82"/>
      <c r="G15" s="83"/>
    </row>
    <row r="16" spans="1:7" ht="14.25" customHeight="1" x14ac:dyDescent="0.25">
      <c r="A16" s="4" t="s">
        <v>13</v>
      </c>
      <c r="B16" s="5"/>
      <c r="C16" s="6"/>
      <c r="D16" s="5"/>
      <c r="E16" s="1"/>
      <c r="F16" s="1"/>
      <c r="G16" s="7"/>
    </row>
    <row r="17" spans="1:7" ht="14.25" customHeight="1" x14ac:dyDescent="0.25">
      <c r="A17" s="108" t="s">
        <v>14</v>
      </c>
      <c r="B17" s="69"/>
      <c r="C17" s="69"/>
      <c r="D17" s="69"/>
      <c r="E17" s="69"/>
      <c r="F17" s="69"/>
      <c r="G17" s="74"/>
    </row>
    <row r="18" spans="1:7" ht="14.25" customHeight="1" x14ac:dyDescent="0.25">
      <c r="A18" s="44"/>
      <c r="B18" s="1"/>
      <c r="C18" s="2"/>
      <c r="D18" s="101"/>
      <c r="E18" s="69"/>
      <c r="F18" s="101"/>
      <c r="G18" s="74"/>
    </row>
    <row r="19" spans="1:7" ht="14.25" customHeight="1" x14ac:dyDescent="0.25">
      <c r="A19" s="45" t="s">
        <v>15</v>
      </c>
      <c r="B19" s="46" t="s">
        <v>16</v>
      </c>
      <c r="C19" s="47" t="s">
        <v>17</v>
      </c>
      <c r="D19" s="48" t="s">
        <v>18</v>
      </c>
      <c r="E19" s="48" t="s">
        <v>19</v>
      </c>
      <c r="F19" s="49" t="s">
        <v>49</v>
      </c>
      <c r="G19" s="50" t="s">
        <v>50</v>
      </c>
    </row>
    <row r="20" spans="1:7" ht="14.25" customHeight="1" x14ac:dyDescent="0.25">
      <c r="A20" s="99" t="str">
        <f>A15</f>
        <v>IDENTIFIKASI HAMBATAN FISIK MOTORIK</v>
      </c>
      <c r="B20" s="28">
        <v>1</v>
      </c>
      <c r="C20" s="13" t="s">
        <v>98</v>
      </c>
      <c r="D20" s="35">
        <v>100</v>
      </c>
      <c r="E20" s="35">
        <v>1</v>
      </c>
      <c r="F20" s="36">
        <v>0</v>
      </c>
      <c r="G20" s="37">
        <f t="shared" ref="G20:G24" si="0">+D20*F20</f>
        <v>0</v>
      </c>
    </row>
    <row r="21" spans="1:7" ht="14.25" customHeight="1" x14ac:dyDescent="0.25">
      <c r="A21" s="86"/>
      <c r="B21" s="28">
        <v>2</v>
      </c>
      <c r="C21" s="13" t="s">
        <v>99</v>
      </c>
      <c r="D21" s="35">
        <v>100</v>
      </c>
      <c r="E21" s="35">
        <v>1</v>
      </c>
      <c r="F21" s="36">
        <v>0</v>
      </c>
      <c r="G21" s="37">
        <f t="shared" si="0"/>
        <v>0</v>
      </c>
    </row>
    <row r="22" spans="1:7" ht="14.25" customHeight="1" x14ac:dyDescent="0.25">
      <c r="A22" s="86"/>
      <c r="B22" s="28">
        <v>3</v>
      </c>
      <c r="C22" s="13" t="s">
        <v>100</v>
      </c>
      <c r="D22" s="35">
        <v>100</v>
      </c>
      <c r="E22" s="35">
        <v>1</v>
      </c>
      <c r="F22" s="36">
        <v>0</v>
      </c>
      <c r="G22" s="37">
        <f t="shared" si="0"/>
        <v>0</v>
      </c>
    </row>
    <row r="23" spans="1:7" ht="14.25" customHeight="1" x14ac:dyDescent="0.25">
      <c r="A23" s="86"/>
      <c r="B23" s="28">
        <v>4</v>
      </c>
      <c r="C23" s="13" t="s">
        <v>101</v>
      </c>
      <c r="D23" s="35">
        <v>100</v>
      </c>
      <c r="E23" s="35">
        <v>1</v>
      </c>
      <c r="F23" s="36">
        <v>0</v>
      </c>
      <c r="G23" s="37">
        <f t="shared" si="0"/>
        <v>0</v>
      </c>
    </row>
    <row r="24" spans="1:7" ht="14.25" customHeight="1" x14ac:dyDescent="0.25">
      <c r="A24" s="87"/>
      <c r="B24" s="28">
        <v>5</v>
      </c>
      <c r="C24" s="13" t="s">
        <v>102</v>
      </c>
      <c r="D24" s="35">
        <v>100</v>
      </c>
      <c r="E24" s="35">
        <v>1</v>
      </c>
      <c r="F24" s="36">
        <v>0</v>
      </c>
      <c r="G24" s="37">
        <f t="shared" si="0"/>
        <v>0</v>
      </c>
    </row>
    <row r="25" spans="1:7" ht="14.25" customHeight="1" x14ac:dyDescent="0.25">
      <c r="A25" s="39"/>
      <c r="B25" s="40"/>
      <c r="C25" s="41" t="s">
        <v>92</v>
      </c>
      <c r="D25" s="42"/>
      <c r="E25" s="42"/>
      <c r="F25" s="42"/>
      <c r="G25" s="43">
        <f>SUM(G20:G24)</f>
        <v>0</v>
      </c>
    </row>
    <row r="26" spans="1:7" ht="14.25" customHeight="1" x14ac:dyDescent="0.25">
      <c r="A26" s="88" t="s">
        <v>103</v>
      </c>
      <c r="B26" s="79"/>
      <c r="C26" s="79"/>
      <c r="D26" s="79"/>
      <c r="E26" s="79"/>
      <c r="F26" s="79"/>
      <c r="G26" s="80"/>
    </row>
    <row r="27" spans="1:7" ht="14.25" customHeight="1" x14ac:dyDescent="0.25">
      <c r="A27" s="70"/>
      <c r="B27" s="71"/>
      <c r="C27" s="71"/>
      <c r="D27" s="71"/>
      <c r="E27" s="71"/>
      <c r="F27" s="71"/>
      <c r="G27" s="72"/>
    </row>
    <row r="28" spans="1:7" ht="14.25" customHeight="1" x14ac:dyDescent="0.25">
      <c r="A28" s="73"/>
      <c r="B28" s="69"/>
      <c r="C28" s="69"/>
      <c r="D28" s="69"/>
      <c r="E28" s="69"/>
      <c r="F28" s="69"/>
      <c r="G28" s="74"/>
    </row>
    <row r="29" spans="1:7" ht="14.25" customHeight="1" x14ac:dyDescent="0.25">
      <c r="A29" s="75"/>
      <c r="B29" s="76"/>
      <c r="C29" s="76"/>
      <c r="D29" s="76"/>
      <c r="E29" s="76"/>
      <c r="F29" s="76"/>
      <c r="G29" s="77"/>
    </row>
    <row r="30" spans="1:7" ht="14.25" customHeight="1" x14ac:dyDescent="0.25">
      <c r="A30" s="102" t="s">
        <v>45</v>
      </c>
      <c r="B30" s="71"/>
      <c r="C30" s="90"/>
      <c r="D30" s="103" t="s">
        <v>95</v>
      </c>
      <c r="E30" s="105" t="str">
        <f>IF(G25&lt;100,"Tidak teridentifikasi",IF(G25&gt;=100,"Tunadaksa"))</f>
        <v>Tidak teridentifikasi</v>
      </c>
      <c r="F30" s="71"/>
      <c r="G30" s="72"/>
    </row>
    <row r="31" spans="1:7" ht="14.25" customHeight="1" x14ac:dyDescent="0.25">
      <c r="A31" s="91"/>
      <c r="B31" s="92"/>
      <c r="C31" s="93"/>
      <c r="D31" s="104"/>
      <c r="E31" s="106"/>
      <c r="F31" s="92"/>
      <c r="G31" s="107"/>
    </row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8">
    <mergeCell ref="C7:G7"/>
    <mergeCell ref="C8:G8"/>
    <mergeCell ref="A27:G29"/>
    <mergeCell ref="A30:C31"/>
    <mergeCell ref="D30:D31"/>
    <mergeCell ref="E30:G31"/>
    <mergeCell ref="C9:G9"/>
    <mergeCell ref="A15:G15"/>
    <mergeCell ref="A17:G17"/>
    <mergeCell ref="D18:E18"/>
    <mergeCell ref="F18:G18"/>
    <mergeCell ref="A20:A24"/>
    <mergeCell ref="A26:G26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5.42578125" customWidth="1"/>
    <col min="4" max="4" width="8.5703125" customWidth="1"/>
    <col min="5" max="5" width="8.140625" customWidth="1"/>
    <col min="6" max="6" width="8.5703125" customWidth="1"/>
    <col min="7" max="26" width="9" customWidth="1"/>
  </cols>
  <sheetData>
    <row r="1" spans="1:7" ht="14.25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14.25" customHeight="1" x14ac:dyDescent="0.25">
      <c r="A2" s="1"/>
      <c r="B2" s="1"/>
      <c r="C2" s="2"/>
      <c r="D2" s="1"/>
      <c r="E2" s="1"/>
      <c r="F2" s="1"/>
      <c r="G2" s="1"/>
    </row>
    <row r="3" spans="1:7" ht="14.25" customHeight="1" x14ac:dyDescent="0.25">
      <c r="A3" s="1" t="s">
        <v>1</v>
      </c>
      <c r="B3" s="1" t="s">
        <v>2</v>
      </c>
      <c r="C3" s="68" t="s">
        <v>104</v>
      </c>
      <c r="D3" s="69"/>
      <c r="E3" s="69"/>
      <c r="F3" s="69"/>
      <c r="G3" s="69"/>
    </row>
    <row r="4" spans="1:7" ht="14.25" customHeight="1" x14ac:dyDescent="0.25">
      <c r="A4" s="1" t="s">
        <v>3</v>
      </c>
      <c r="B4" s="1" t="s">
        <v>2</v>
      </c>
      <c r="C4" s="68" t="s">
        <v>105</v>
      </c>
      <c r="D4" s="69"/>
      <c r="E4" s="69"/>
      <c r="F4" s="69"/>
      <c r="G4" s="69"/>
    </row>
    <row r="5" spans="1:7" ht="14.25" customHeight="1" x14ac:dyDescent="0.25">
      <c r="A5" s="1" t="s">
        <v>4</v>
      </c>
      <c r="B5" s="1" t="s">
        <v>2</v>
      </c>
      <c r="C5" s="68" t="s">
        <v>67</v>
      </c>
      <c r="D5" s="69"/>
      <c r="E5" s="69"/>
      <c r="F5" s="69"/>
      <c r="G5" s="69"/>
    </row>
    <row r="6" spans="1:7" ht="14.25" customHeight="1" x14ac:dyDescent="0.25">
      <c r="A6" s="1" t="s">
        <v>5</v>
      </c>
      <c r="B6" s="1" t="s">
        <v>2</v>
      </c>
      <c r="C6" s="68" t="s">
        <v>106</v>
      </c>
      <c r="D6" s="69"/>
      <c r="E6" s="69"/>
      <c r="F6" s="69"/>
      <c r="G6" s="69"/>
    </row>
    <row r="7" spans="1:7" ht="14.25" customHeight="1" x14ac:dyDescent="0.25">
      <c r="A7" s="1" t="s">
        <v>6</v>
      </c>
      <c r="B7" s="1" t="s">
        <v>2</v>
      </c>
      <c r="C7" s="68" t="s">
        <v>107</v>
      </c>
      <c r="D7" s="69"/>
      <c r="E7" s="69"/>
      <c r="F7" s="69"/>
      <c r="G7" s="69"/>
    </row>
    <row r="8" spans="1:7" ht="14.2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/>
      <c r="B10" s="1"/>
      <c r="C10" s="3"/>
      <c r="D10" s="3"/>
      <c r="E10" s="3"/>
      <c r="F10" s="3"/>
      <c r="G10" s="3"/>
    </row>
    <row r="11" spans="1:7" ht="14.2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ht="14.2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/>
    <row r="15" spans="1:7" ht="14.25" customHeight="1" x14ac:dyDescent="0.25">
      <c r="A15" s="81" t="s">
        <v>108</v>
      </c>
      <c r="B15" s="82"/>
      <c r="C15" s="82"/>
      <c r="D15" s="82"/>
      <c r="E15" s="82"/>
      <c r="F15" s="82"/>
      <c r="G15" s="83"/>
    </row>
    <row r="16" spans="1:7" ht="14.25" customHeight="1" x14ac:dyDescent="0.25">
      <c r="A16" s="4" t="s">
        <v>13</v>
      </c>
      <c r="B16" s="5"/>
      <c r="C16" s="6"/>
      <c r="D16" s="5"/>
      <c r="E16" s="1"/>
      <c r="F16" s="1"/>
      <c r="G16" s="7"/>
    </row>
    <row r="17" spans="1:7" ht="14.25" customHeight="1" x14ac:dyDescent="0.25">
      <c r="A17" s="108" t="s">
        <v>14</v>
      </c>
      <c r="B17" s="69"/>
      <c r="C17" s="69"/>
      <c r="D17" s="69"/>
      <c r="E17" s="69"/>
      <c r="F17" s="69"/>
      <c r="G17" s="74"/>
    </row>
    <row r="18" spans="1:7" ht="14.25" customHeight="1" x14ac:dyDescent="0.25">
      <c r="A18" s="44"/>
      <c r="B18" s="1"/>
      <c r="C18" s="2"/>
      <c r="D18" s="1"/>
      <c r="E18" s="1"/>
      <c r="F18" s="1"/>
      <c r="G18" s="7"/>
    </row>
    <row r="19" spans="1:7" ht="14.25" customHeight="1" x14ac:dyDescent="0.25">
      <c r="A19" s="51" t="s">
        <v>109</v>
      </c>
      <c r="B19" s="23" t="s">
        <v>16</v>
      </c>
      <c r="C19" s="24" t="s">
        <v>17</v>
      </c>
      <c r="D19" s="23" t="s">
        <v>18</v>
      </c>
      <c r="E19" s="23" t="s">
        <v>19</v>
      </c>
      <c r="F19" s="24" t="s">
        <v>49</v>
      </c>
      <c r="G19" s="27" t="s">
        <v>50</v>
      </c>
    </row>
    <row r="20" spans="1:7" ht="15" customHeight="1" x14ac:dyDescent="0.25">
      <c r="A20" s="109" t="s">
        <v>110</v>
      </c>
      <c r="B20" s="28">
        <v>1</v>
      </c>
      <c r="C20" s="52" t="s">
        <v>111</v>
      </c>
      <c r="D20" s="35">
        <v>50</v>
      </c>
      <c r="E20" s="35">
        <v>4</v>
      </c>
      <c r="F20" s="36">
        <v>0</v>
      </c>
      <c r="G20" s="37">
        <f t="shared" ref="G20:G28" si="0">+D20*F20</f>
        <v>0</v>
      </c>
    </row>
    <row r="21" spans="1:7" ht="15" customHeight="1" x14ac:dyDescent="0.25">
      <c r="A21" s="86"/>
      <c r="B21" s="28">
        <v>2</v>
      </c>
      <c r="C21" s="52" t="s">
        <v>112</v>
      </c>
      <c r="D21" s="35">
        <v>40</v>
      </c>
      <c r="E21" s="35">
        <v>4</v>
      </c>
      <c r="F21" s="36">
        <v>0</v>
      </c>
      <c r="G21" s="37">
        <f t="shared" si="0"/>
        <v>0</v>
      </c>
    </row>
    <row r="22" spans="1:7" ht="15" customHeight="1" x14ac:dyDescent="0.25">
      <c r="A22" s="86"/>
      <c r="B22" s="28">
        <v>3</v>
      </c>
      <c r="C22" s="52" t="s">
        <v>113</v>
      </c>
      <c r="D22" s="35">
        <v>20</v>
      </c>
      <c r="E22" s="35">
        <v>4</v>
      </c>
      <c r="F22" s="36">
        <v>0</v>
      </c>
      <c r="G22" s="37">
        <f t="shared" si="0"/>
        <v>0</v>
      </c>
    </row>
    <row r="23" spans="1:7" ht="15" customHeight="1" x14ac:dyDescent="0.25">
      <c r="A23" s="86"/>
      <c r="B23" s="28">
        <v>4</v>
      </c>
      <c r="C23" s="52" t="s">
        <v>114</v>
      </c>
      <c r="D23" s="35">
        <v>20</v>
      </c>
      <c r="E23" s="35">
        <v>4</v>
      </c>
      <c r="F23" s="36">
        <v>0</v>
      </c>
      <c r="G23" s="37">
        <f t="shared" si="0"/>
        <v>0</v>
      </c>
    </row>
    <row r="24" spans="1:7" ht="15" customHeight="1" x14ac:dyDescent="0.25">
      <c r="A24" s="86"/>
      <c r="B24" s="28">
        <v>5</v>
      </c>
      <c r="C24" s="52" t="s">
        <v>115</v>
      </c>
      <c r="D24" s="35">
        <v>30</v>
      </c>
      <c r="E24" s="35">
        <v>4</v>
      </c>
      <c r="F24" s="36">
        <v>0</v>
      </c>
      <c r="G24" s="37">
        <f t="shared" si="0"/>
        <v>0</v>
      </c>
    </row>
    <row r="25" spans="1:7" ht="15" customHeight="1" x14ac:dyDescent="0.25">
      <c r="A25" s="86"/>
      <c r="B25" s="28">
        <v>6</v>
      </c>
      <c r="C25" s="52" t="s">
        <v>116</v>
      </c>
      <c r="D25" s="35">
        <v>50</v>
      </c>
      <c r="E25" s="35">
        <v>4</v>
      </c>
      <c r="F25" s="36">
        <v>0</v>
      </c>
      <c r="G25" s="37">
        <f t="shared" si="0"/>
        <v>0</v>
      </c>
    </row>
    <row r="26" spans="1:7" ht="15" customHeight="1" x14ac:dyDescent="0.25">
      <c r="A26" s="86"/>
      <c r="B26" s="28">
        <v>7</v>
      </c>
      <c r="C26" s="52" t="s">
        <v>117</v>
      </c>
      <c r="D26" s="35">
        <v>20</v>
      </c>
      <c r="E26" s="35">
        <v>4</v>
      </c>
      <c r="F26" s="36">
        <v>0</v>
      </c>
      <c r="G26" s="37">
        <f t="shared" si="0"/>
        <v>0</v>
      </c>
    </row>
    <row r="27" spans="1:7" ht="15" customHeight="1" x14ac:dyDescent="0.25">
      <c r="A27" s="86"/>
      <c r="B27" s="28">
        <v>8</v>
      </c>
      <c r="C27" s="52" t="s">
        <v>118</v>
      </c>
      <c r="D27" s="35">
        <v>30</v>
      </c>
      <c r="E27" s="35">
        <v>4</v>
      </c>
      <c r="F27" s="36">
        <v>0</v>
      </c>
      <c r="G27" s="37">
        <f t="shared" si="0"/>
        <v>0</v>
      </c>
    </row>
    <row r="28" spans="1:7" ht="15" customHeight="1" x14ac:dyDescent="0.25">
      <c r="A28" s="86"/>
      <c r="B28" s="28">
        <v>9</v>
      </c>
      <c r="C28" s="52" t="s">
        <v>119</v>
      </c>
      <c r="D28" s="35">
        <v>50</v>
      </c>
      <c r="E28" s="35">
        <v>4</v>
      </c>
      <c r="F28" s="36">
        <v>0</v>
      </c>
      <c r="G28" s="37">
        <f t="shared" si="0"/>
        <v>0</v>
      </c>
    </row>
    <row r="29" spans="1:7" ht="15" customHeight="1" x14ac:dyDescent="0.25">
      <c r="A29" s="87"/>
      <c r="B29" s="53"/>
      <c r="C29" s="54" t="s">
        <v>92</v>
      </c>
      <c r="D29" s="53"/>
      <c r="E29" s="53"/>
      <c r="F29" s="53"/>
      <c r="G29" s="37">
        <f>SUM(G20:G28)</f>
        <v>0</v>
      </c>
    </row>
    <row r="30" spans="1:7" ht="14.25" customHeight="1" x14ac:dyDescent="0.25">
      <c r="A30" s="110" t="s">
        <v>120</v>
      </c>
      <c r="B30" s="79"/>
      <c r="C30" s="79"/>
      <c r="D30" s="79"/>
      <c r="E30" s="79"/>
      <c r="F30" s="79"/>
      <c r="G30" s="80"/>
    </row>
    <row r="31" spans="1:7" ht="14.25" customHeight="1" x14ac:dyDescent="0.25">
      <c r="A31" s="70"/>
      <c r="B31" s="71"/>
      <c r="C31" s="71"/>
      <c r="D31" s="71"/>
      <c r="E31" s="71"/>
      <c r="F31" s="71"/>
      <c r="G31" s="72"/>
    </row>
    <row r="32" spans="1:7" ht="14.25" customHeight="1" x14ac:dyDescent="0.25">
      <c r="A32" s="73"/>
      <c r="B32" s="69"/>
      <c r="C32" s="69"/>
      <c r="D32" s="69"/>
      <c r="E32" s="69"/>
      <c r="F32" s="69"/>
      <c r="G32" s="74"/>
    </row>
    <row r="33" spans="1:7" ht="14.25" customHeight="1" x14ac:dyDescent="0.25">
      <c r="A33" s="75"/>
      <c r="B33" s="76"/>
      <c r="C33" s="76"/>
      <c r="D33" s="76"/>
      <c r="E33" s="76"/>
      <c r="F33" s="76"/>
      <c r="G33" s="77"/>
    </row>
    <row r="34" spans="1:7" ht="14.25" customHeight="1" x14ac:dyDescent="0.25">
      <c r="A34" s="102" t="s">
        <v>45</v>
      </c>
      <c r="B34" s="71"/>
      <c r="C34" s="90"/>
      <c r="D34" s="103" t="s">
        <v>95</v>
      </c>
      <c r="E34" s="105" t="str">
        <f>IF(G29&lt;100,"Tidak teridentifikasi",IF(G29&gt;=100,"Tunalaras"))</f>
        <v>Tidak teridentifikasi</v>
      </c>
      <c r="F34" s="71"/>
      <c r="G34" s="72"/>
    </row>
    <row r="35" spans="1:7" ht="14.25" customHeight="1" x14ac:dyDescent="0.25">
      <c r="A35" s="91"/>
      <c r="B35" s="92"/>
      <c r="C35" s="93"/>
      <c r="D35" s="104"/>
      <c r="E35" s="106"/>
      <c r="F35" s="92"/>
      <c r="G35" s="107"/>
    </row>
    <row r="36" spans="1:7" ht="14.25" customHeight="1" x14ac:dyDescent="0.25"/>
    <row r="37" spans="1:7" ht="14.25" customHeight="1" x14ac:dyDescent="0.25"/>
    <row r="38" spans="1:7" ht="14.25" customHeight="1" x14ac:dyDescent="0.25"/>
    <row r="39" spans="1:7" ht="14.25" customHeight="1" x14ac:dyDescent="0.25"/>
    <row r="40" spans="1:7" ht="14.25" customHeight="1" x14ac:dyDescent="0.25"/>
    <row r="41" spans="1:7" ht="14.25" customHeight="1" x14ac:dyDescent="0.25"/>
    <row r="42" spans="1:7" ht="14.25" customHeight="1" x14ac:dyDescent="0.25"/>
    <row r="43" spans="1:7" ht="14.25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C7:G7"/>
    <mergeCell ref="C8:G8"/>
    <mergeCell ref="D34:D35"/>
    <mergeCell ref="E34:G35"/>
    <mergeCell ref="C9:G9"/>
    <mergeCell ref="A15:G15"/>
    <mergeCell ref="A17:G17"/>
    <mergeCell ref="A20:A29"/>
    <mergeCell ref="A30:G30"/>
    <mergeCell ref="A31:G33"/>
    <mergeCell ref="A34:C35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tabSelected="1" zoomScale="70" zoomScaleNormal="70" workbookViewId="0">
      <selection sqref="A1:G1"/>
    </sheetView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6.7109375" customWidth="1"/>
    <col min="4" max="4" width="8.7109375" customWidth="1"/>
    <col min="5" max="5" width="8.140625" customWidth="1"/>
    <col min="6" max="7" width="7.85546875" customWidth="1"/>
    <col min="8" max="26" width="9" customWidth="1"/>
  </cols>
  <sheetData>
    <row r="1" spans="1:7" ht="14.25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14.25" customHeight="1" x14ac:dyDescent="0.25">
      <c r="A2" s="1"/>
      <c r="B2" s="1"/>
      <c r="C2" s="2"/>
      <c r="D2" s="1"/>
      <c r="E2" s="1"/>
      <c r="F2" s="1"/>
      <c r="G2" s="1"/>
    </row>
    <row r="3" spans="1:7" ht="14.25" customHeight="1" x14ac:dyDescent="0.25">
      <c r="A3" s="1" t="s">
        <v>1</v>
      </c>
      <c r="B3" s="1" t="s">
        <v>2</v>
      </c>
      <c r="C3" s="68" t="s">
        <v>121</v>
      </c>
      <c r="D3" s="69"/>
      <c r="E3" s="69"/>
      <c r="F3" s="69"/>
      <c r="G3" s="69"/>
    </row>
    <row r="4" spans="1:7" ht="14.25" customHeight="1" x14ac:dyDescent="0.25">
      <c r="A4" s="1" t="s">
        <v>3</v>
      </c>
      <c r="B4" s="1" t="s">
        <v>2</v>
      </c>
      <c r="C4" s="68"/>
      <c r="D4" s="69"/>
      <c r="E4" s="69"/>
      <c r="F4" s="69"/>
      <c r="G4" s="69"/>
    </row>
    <row r="5" spans="1:7" ht="14.25" customHeight="1" x14ac:dyDescent="0.25">
      <c r="A5" s="1" t="s">
        <v>4</v>
      </c>
      <c r="B5" s="1" t="s">
        <v>2</v>
      </c>
      <c r="C5" s="68"/>
      <c r="D5" s="69"/>
      <c r="E5" s="69"/>
      <c r="F5" s="69"/>
      <c r="G5" s="69"/>
    </row>
    <row r="6" spans="1:7" ht="14.25" customHeight="1" x14ac:dyDescent="0.25">
      <c r="A6" s="1" t="s">
        <v>5</v>
      </c>
      <c r="B6" s="1" t="s">
        <v>2</v>
      </c>
      <c r="C6" s="68"/>
      <c r="D6" s="69"/>
      <c r="E6" s="69"/>
      <c r="F6" s="69"/>
      <c r="G6" s="69"/>
    </row>
    <row r="7" spans="1:7" ht="14.25" customHeight="1" x14ac:dyDescent="0.25">
      <c r="A7" s="1" t="s">
        <v>6</v>
      </c>
      <c r="B7" s="1" t="s">
        <v>2</v>
      </c>
      <c r="C7" s="68"/>
      <c r="D7" s="69"/>
      <c r="E7" s="69"/>
      <c r="F7" s="69"/>
      <c r="G7" s="69"/>
    </row>
    <row r="8" spans="1:7" ht="14.2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/>
      <c r="B10" s="1"/>
      <c r="C10" s="3"/>
      <c r="D10" s="3"/>
      <c r="E10" s="3"/>
      <c r="F10" s="3"/>
      <c r="G10" s="3"/>
    </row>
    <row r="11" spans="1:7" ht="14.2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ht="14.2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/>
    <row r="15" spans="1:7" ht="14.25" customHeight="1" x14ac:dyDescent="0.25">
      <c r="A15" s="81" t="s">
        <v>122</v>
      </c>
      <c r="B15" s="82"/>
      <c r="C15" s="82"/>
      <c r="D15" s="82"/>
      <c r="E15" s="82"/>
      <c r="F15" s="82"/>
      <c r="G15" s="83"/>
    </row>
    <row r="16" spans="1:7" ht="14.25" customHeight="1" x14ac:dyDescent="0.25">
      <c r="A16" s="4" t="s">
        <v>13</v>
      </c>
      <c r="B16" s="5"/>
      <c r="C16" s="6"/>
      <c r="D16" s="5"/>
      <c r="E16" s="1"/>
      <c r="F16" s="1"/>
      <c r="G16" s="7"/>
    </row>
    <row r="17" spans="1:8" ht="14.25" customHeight="1" x14ac:dyDescent="0.25">
      <c r="A17" s="108" t="s">
        <v>14</v>
      </c>
      <c r="B17" s="69"/>
      <c r="C17" s="69"/>
      <c r="D17" s="69"/>
      <c r="E17" s="69"/>
      <c r="F17" s="69"/>
      <c r="G17" s="74"/>
    </row>
    <row r="18" spans="1:8" ht="14.25" customHeight="1" x14ac:dyDescent="0.25">
      <c r="A18" s="44"/>
      <c r="B18" s="1"/>
      <c r="C18" s="2"/>
      <c r="D18" s="1"/>
      <c r="E18" s="1"/>
      <c r="F18" s="1"/>
      <c r="G18" s="7"/>
    </row>
    <row r="19" spans="1:8" ht="28.5" customHeight="1" x14ac:dyDescent="0.25">
      <c r="A19" s="55" t="s">
        <v>15</v>
      </c>
      <c r="B19" s="23" t="s">
        <v>16</v>
      </c>
      <c r="C19" s="24" t="s">
        <v>17</v>
      </c>
      <c r="D19" s="23" t="s">
        <v>18</v>
      </c>
      <c r="E19" s="23" t="s">
        <v>19</v>
      </c>
      <c r="F19" s="24" t="s">
        <v>123</v>
      </c>
      <c r="G19" s="27" t="s">
        <v>50</v>
      </c>
    </row>
    <row r="20" spans="1:8" ht="14.25" customHeight="1" x14ac:dyDescent="0.25">
      <c r="A20" s="109" t="s">
        <v>124</v>
      </c>
      <c r="B20" s="28">
        <v>1</v>
      </c>
      <c r="C20" s="13" t="s">
        <v>125</v>
      </c>
      <c r="D20" s="35">
        <v>20</v>
      </c>
      <c r="E20" s="35">
        <v>3</v>
      </c>
      <c r="F20" s="36">
        <v>1</v>
      </c>
      <c r="G20" s="37">
        <f t="shared" ref="G20:G32" si="0">+D20*F20</f>
        <v>20</v>
      </c>
    </row>
    <row r="21" spans="1:8" ht="14.25" customHeight="1" x14ac:dyDescent="0.25">
      <c r="A21" s="86"/>
      <c r="B21" s="28">
        <v>2</v>
      </c>
      <c r="C21" s="13" t="s">
        <v>126</v>
      </c>
      <c r="D21" s="35">
        <v>10</v>
      </c>
      <c r="E21" s="35">
        <v>3</v>
      </c>
      <c r="F21" s="36">
        <v>1</v>
      </c>
      <c r="G21" s="37">
        <f t="shared" si="0"/>
        <v>10</v>
      </c>
      <c r="H21" s="38" t="s">
        <v>127</v>
      </c>
    </row>
    <row r="22" spans="1:8" ht="14.25" customHeight="1" x14ac:dyDescent="0.25">
      <c r="A22" s="86"/>
      <c r="B22" s="28">
        <v>3</v>
      </c>
      <c r="C22" s="13" t="s">
        <v>128</v>
      </c>
      <c r="D22" s="35">
        <v>10</v>
      </c>
      <c r="E22" s="35">
        <v>3</v>
      </c>
      <c r="F22" s="36">
        <v>0</v>
      </c>
      <c r="G22" s="37">
        <f t="shared" si="0"/>
        <v>0</v>
      </c>
      <c r="H22" s="38" t="s">
        <v>129</v>
      </c>
    </row>
    <row r="23" spans="1:8" ht="14.25" customHeight="1" x14ac:dyDescent="0.25">
      <c r="A23" s="86"/>
      <c r="B23" s="28">
        <v>4</v>
      </c>
      <c r="C23" s="13" t="s">
        <v>130</v>
      </c>
      <c r="D23" s="35">
        <v>20</v>
      </c>
      <c r="E23" s="35">
        <v>3</v>
      </c>
      <c r="F23" s="36">
        <v>0</v>
      </c>
      <c r="G23" s="37">
        <f t="shared" si="0"/>
        <v>0</v>
      </c>
      <c r="H23" s="38" t="s">
        <v>131</v>
      </c>
    </row>
    <row r="24" spans="1:8" ht="14.25" customHeight="1" x14ac:dyDescent="0.25">
      <c r="A24" s="86"/>
      <c r="B24" s="28">
        <v>5</v>
      </c>
      <c r="C24" s="13" t="s">
        <v>132</v>
      </c>
      <c r="D24" s="35">
        <v>10</v>
      </c>
      <c r="E24" s="35">
        <v>3</v>
      </c>
      <c r="F24" s="36">
        <v>1</v>
      </c>
      <c r="G24" s="37">
        <f t="shared" si="0"/>
        <v>10</v>
      </c>
      <c r="H24" s="38" t="s">
        <v>133</v>
      </c>
    </row>
    <row r="25" spans="1:8" ht="14.25" customHeight="1" x14ac:dyDescent="0.25">
      <c r="A25" s="86"/>
      <c r="B25" s="28">
        <v>6</v>
      </c>
      <c r="C25" s="13" t="s">
        <v>134</v>
      </c>
      <c r="D25" s="35">
        <v>20</v>
      </c>
      <c r="E25" s="35">
        <v>3</v>
      </c>
      <c r="F25" s="36">
        <v>1</v>
      </c>
      <c r="G25" s="37">
        <f t="shared" si="0"/>
        <v>20</v>
      </c>
      <c r="H25" s="38" t="s">
        <v>135</v>
      </c>
    </row>
    <row r="26" spans="1:8" ht="14.25" customHeight="1" x14ac:dyDescent="0.25">
      <c r="A26" s="86"/>
      <c r="B26" s="28">
        <v>7</v>
      </c>
      <c r="C26" s="13" t="s">
        <v>136</v>
      </c>
      <c r="D26" s="35">
        <v>10</v>
      </c>
      <c r="E26" s="35">
        <v>3</v>
      </c>
      <c r="F26" s="36">
        <v>1</v>
      </c>
      <c r="G26" s="37">
        <f t="shared" si="0"/>
        <v>10</v>
      </c>
      <c r="H26" s="38" t="s">
        <v>137</v>
      </c>
    </row>
    <row r="27" spans="1:8" ht="14.25" customHeight="1" x14ac:dyDescent="0.25">
      <c r="A27" s="86"/>
      <c r="B27" s="28">
        <v>8</v>
      </c>
      <c r="C27" s="13" t="s">
        <v>138</v>
      </c>
      <c r="D27" s="35">
        <v>10</v>
      </c>
      <c r="E27" s="35">
        <v>3</v>
      </c>
      <c r="F27" s="36">
        <v>1</v>
      </c>
      <c r="G27" s="37">
        <f t="shared" si="0"/>
        <v>10</v>
      </c>
      <c r="H27" s="38" t="s">
        <v>139</v>
      </c>
    </row>
    <row r="28" spans="1:8" ht="14.25" customHeight="1" x14ac:dyDescent="0.25">
      <c r="A28" s="86"/>
      <c r="B28" s="28">
        <v>9</v>
      </c>
      <c r="C28" s="13" t="s">
        <v>140</v>
      </c>
      <c r="D28" s="35">
        <v>20</v>
      </c>
      <c r="E28" s="35">
        <v>3</v>
      </c>
      <c r="F28" s="36">
        <v>1</v>
      </c>
      <c r="G28" s="37">
        <f t="shared" si="0"/>
        <v>20</v>
      </c>
      <c r="H28" s="38" t="s">
        <v>141</v>
      </c>
    </row>
    <row r="29" spans="1:8" ht="14.25" customHeight="1" x14ac:dyDescent="0.25">
      <c r="A29" s="86"/>
      <c r="B29" s="28">
        <v>10</v>
      </c>
      <c r="C29" s="13" t="s">
        <v>142</v>
      </c>
      <c r="D29" s="35">
        <v>20</v>
      </c>
      <c r="E29" s="35">
        <v>3</v>
      </c>
      <c r="F29" s="36">
        <v>1</v>
      </c>
      <c r="G29" s="37">
        <f t="shared" si="0"/>
        <v>20</v>
      </c>
      <c r="H29" s="38" t="s">
        <v>143</v>
      </c>
    </row>
    <row r="30" spans="1:8" ht="14.25" customHeight="1" x14ac:dyDescent="0.25">
      <c r="A30" s="86"/>
      <c r="B30" s="28">
        <v>11</v>
      </c>
      <c r="C30" s="13" t="s">
        <v>144</v>
      </c>
      <c r="D30" s="35">
        <v>10</v>
      </c>
      <c r="E30" s="35">
        <v>3</v>
      </c>
      <c r="F30" s="36">
        <v>1</v>
      </c>
      <c r="G30" s="37">
        <f t="shared" si="0"/>
        <v>10</v>
      </c>
      <c r="H30" s="38" t="s">
        <v>145</v>
      </c>
    </row>
    <row r="31" spans="1:8" ht="14.25" customHeight="1" x14ac:dyDescent="0.25">
      <c r="A31" s="86"/>
      <c r="B31" s="28">
        <v>12</v>
      </c>
      <c r="C31" s="13" t="s">
        <v>146</v>
      </c>
      <c r="D31" s="35">
        <v>20</v>
      </c>
      <c r="E31" s="35">
        <v>4</v>
      </c>
      <c r="F31" s="36">
        <v>1</v>
      </c>
      <c r="G31" s="37">
        <f t="shared" si="0"/>
        <v>20</v>
      </c>
    </row>
    <row r="32" spans="1:8" ht="14.25" customHeight="1" x14ac:dyDescent="0.25">
      <c r="A32" s="87"/>
      <c r="B32" s="28">
        <v>13</v>
      </c>
      <c r="C32" s="13" t="s">
        <v>147</v>
      </c>
      <c r="D32" s="35">
        <v>10</v>
      </c>
      <c r="E32" s="35">
        <v>4</v>
      </c>
      <c r="F32" s="36">
        <v>1</v>
      </c>
      <c r="G32" s="37">
        <f t="shared" si="0"/>
        <v>10</v>
      </c>
      <c r="H32" s="38" t="s">
        <v>148</v>
      </c>
    </row>
    <row r="33" spans="1:7" ht="14.25" customHeight="1" x14ac:dyDescent="0.25">
      <c r="A33" s="18"/>
      <c r="B33" s="19"/>
      <c r="C33" s="33" t="s">
        <v>92</v>
      </c>
      <c r="D33" s="19"/>
      <c r="E33" s="19"/>
      <c r="F33" s="53"/>
      <c r="G33" s="37">
        <f>SUM(G20:G32)</f>
        <v>160</v>
      </c>
    </row>
    <row r="34" spans="1:7" ht="30" customHeight="1" x14ac:dyDescent="0.25">
      <c r="A34" s="113" t="s">
        <v>149</v>
      </c>
      <c r="B34" s="79"/>
      <c r="C34" s="79"/>
      <c r="D34" s="79"/>
      <c r="E34" s="79"/>
      <c r="F34" s="79"/>
      <c r="G34" s="80"/>
    </row>
    <row r="35" spans="1:7" ht="14.25" customHeight="1" x14ac:dyDescent="0.25">
      <c r="A35" s="70"/>
      <c r="B35" s="71"/>
      <c r="C35" s="71"/>
      <c r="D35" s="71"/>
      <c r="E35" s="71"/>
      <c r="F35" s="71"/>
      <c r="G35" s="72"/>
    </row>
    <row r="36" spans="1:7" ht="14.25" customHeight="1" x14ac:dyDescent="0.25">
      <c r="A36" s="73"/>
      <c r="B36" s="69"/>
      <c r="C36" s="69"/>
      <c r="D36" s="69"/>
      <c r="E36" s="69"/>
      <c r="F36" s="69"/>
      <c r="G36" s="74"/>
    </row>
    <row r="37" spans="1:7" ht="14.25" customHeight="1" x14ac:dyDescent="0.25">
      <c r="A37" s="75"/>
      <c r="B37" s="76"/>
      <c r="C37" s="76"/>
      <c r="D37" s="76"/>
      <c r="E37" s="76"/>
      <c r="F37" s="76"/>
      <c r="G37" s="77"/>
    </row>
    <row r="38" spans="1:7" ht="14.25" customHeight="1" x14ac:dyDescent="0.25">
      <c r="A38" s="102" t="s">
        <v>45</v>
      </c>
      <c r="B38" s="71"/>
      <c r="C38" s="90"/>
      <c r="D38" s="103" t="s">
        <v>95</v>
      </c>
      <c r="E38" s="105" t="str">
        <f>IF(G33&lt;100,"Tidak teridentifikasi",IF(G33&gt;=100,"AUTIS"))</f>
        <v>AUTIS</v>
      </c>
      <c r="F38" s="71"/>
      <c r="G38" s="72"/>
    </row>
    <row r="39" spans="1:7" ht="14.25" customHeight="1" x14ac:dyDescent="0.25">
      <c r="A39" s="75"/>
      <c r="B39" s="76"/>
      <c r="C39" s="114"/>
      <c r="D39" s="111"/>
      <c r="E39" s="112"/>
      <c r="F39" s="76"/>
      <c r="G39" s="77"/>
    </row>
    <row r="40" spans="1:7" ht="14.25" customHeight="1" x14ac:dyDescent="0.25"/>
    <row r="41" spans="1:7" ht="14.25" customHeight="1" x14ac:dyDescent="0.25"/>
    <row r="42" spans="1:7" ht="14.25" customHeight="1" x14ac:dyDescent="0.25"/>
    <row r="43" spans="1:7" ht="14.25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C7:G7"/>
    <mergeCell ref="C8:G8"/>
    <mergeCell ref="D38:D39"/>
    <mergeCell ref="E38:G39"/>
    <mergeCell ref="C9:G9"/>
    <mergeCell ref="A15:G15"/>
    <mergeCell ref="A17:G17"/>
    <mergeCell ref="A20:A32"/>
    <mergeCell ref="A34:G34"/>
    <mergeCell ref="A35:G37"/>
    <mergeCell ref="A38:C39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6.7109375" customWidth="1"/>
    <col min="4" max="4" width="7.85546875" customWidth="1"/>
    <col min="5" max="5" width="8" customWidth="1"/>
    <col min="6" max="6" width="7.28515625" customWidth="1"/>
    <col min="7" max="26" width="9" customWidth="1"/>
  </cols>
  <sheetData>
    <row r="1" spans="1:7" ht="14.25" customHeight="1" x14ac:dyDescent="0.25"/>
    <row r="2" spans="1:7" ht="14.25" customHeight="1" x14ac:dyDescent="0.25">
      <c r="A2" s="65" t="s">
        <v>0</v>
      </c>
      <c r="B2" s="66"/>
      <c r="C2" s="66"/>
      <c r="D2" s="66"/>
      <c r="E2" s="66"/>
      <c r="F2" s="66"/>
      <c r="G2" s="67"/>
    </row>
    <row r="3" spans="1:7" ht="14.25" customHeight="1" x14ac:dyDescent="0.25">
      <c r="A3" s="1"/>
      <c r="B3" s="1"/>
      <c r="C3" s="2"/>
      <c r="D3" s="1"/>
      <c r="E3" s="1"/>
      <c r="F3" s="1"/>
      <c r="G3" s="1"/>
    </row>
    <row r="4" spans="1:7" ht="14.25" customHeight="1" x14ac:dyDescent="0.25">
      <c r="A4" s="1" t="s">
        <v>1</v>
      </c>
      <c r="B4" s="1" t="s">
        <v>2</v>
      </c>
      <c r="C4" s="68"/>
      <c r="D4" s="69"/>
      <c r="E4" s="69"/>
      <c r="F4" s="69"/>
      <c r="G4" s="69"/>
    </row>
    <row r="5" spans="1:7" ht="14.25" customHeight="1" x14ac:dyDescent="0.25">
      <c r="A5" s="1" t="s">
        <v>3</v>
      </c>
      <c r="B5" s="1" t="s">
        <v>2</v>
      </c>
      <c r="C5" s="68"/>
      <c r="D5" s="69"/>
      <c r="E5" s="69"/>
      <c r="F5" s="69"/>
      <c r="G5" s="69"/>
    </row>
    <row r="6" spans="1:7" ht="14.25" customHeight="1" x14ac:dyDescent="0.25">
      <c r="A6" s="1" t="s">
        <v>4</v>
      </c>
      <c r="B6" s="1" t="s">
        <v>2</v>
      </c>
      <c r="C6" s="68"/>
      <c r="D6" s="69"/>
      <c r="E6" s="69"/>
      <c r="F6" s="69"/>
      <c r="G6" s="69"/>
    </row>
    <row r="7" spans="1:7" ht="14.25" customHeight="1" x14ac:dyDescent="0.25">
      <c r="A7" s="1" t="s">
        <v>5</v>
      </c>
      <c r="B7" s="1" t="s">
        <v>2</v>
      </c>
      <c r="C7" s="68"/>
      <c r="D7" s="69"/>
      <c r="E7" s="69"/>
      <c r="F7" s="69"/>
      <c r="G7" s="69"/>
    </row>
    <row r="8" spans="1:7" ht="14.25" customHeight="1" x14ac:dyDescent="0.25">
      <c r="A8" s="1" t="s">
        <v>6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7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 t="s">
        <v>8</v>
      </c>
      <c r="B10" s="1" t="s">
        <v>2</v>
      </c>
      <c r="C10" s="68"/>
      <c r="D10" s="69"/>
      <c r="E10" s="69"/>
      <c r="F10" s="69"/>
      <c r="G10" s="69"/>
    </row>
    <row r="11" spans="1:7" ht="14.25" customHeight="1" x14ac:dyDescent="0.25">
      <c r="A11" s="1"/>
      <c r="B11" s="1"/>
      <c r="C11" s="3"/>
      <c r="D11" s="3"/>
      <c r="E11" s="3"/>
      <c r="F11" s="3"/>
      <c r="G11" s="3"/>
    </row>
    <row r="12" spans="1:7" ht="14.25" customHeight="1" x14ac:dyDescent="0.25">
      <c r="A12" s="1" t="s">
        <v>9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10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>
      <c r="A14" s="1" t="s">
        <v>11</v>
      </c>
      <c r="B14" s="1" t="s">
        <v>2</v>
      </c>
      <c r="C14" s="3"/>
      <c r="D14" s="3"/>
      <c r="E14" s="3"/>
      <c r="F14" s="3"/>
      <c r="G14" s="3"/>
    </row>
    <row r="15" spans="1:7" ht="14.25" customHeight="1" x14ac:dyDescent="0.25"/>
    <row r="16" spans="1:7" ht="14.25" customHeight="1" x14ac:dyDescent="0.25">
      <c r="A16" s="115" t="s">
        <v>150</v>
      </c>
      <c r="B16" s="82"/>
      <c r="C16" s="82"/>
      <c r="D16" s="82"/>
      <c r="E16" s="82"/>
      <c r="F16" s="82"/>
      <c r="G16" s="83"/>
    </row>
    <row r="17" spans="1:7" ht="14.25" customHeight="1" x14ac:dyDescent="0.25">
      <c r="A17" s="4" t="s">
        <v>13</v>
      </c>
      <c r="B17" s="5"/>
      <c r="C17" s="6"/>
      <c r="D17" s="5"/>
      <c r="E17" s="1"/>
      <c r="F17" s="1"/>
      <c r="G17" s="7"/>
    </row>
    <row r="18" spans="1:7" ht="14.25" customHeight="1" x14ac:dyDescent="0.25">
      <c r="A18" s="108" t="s">
        <v>14</v>
      </c>
      <c r="B18" s="69"/>
      <c r="C18" s="69"/>
      <c r="D18" s="69"/>
      <c r="E18" s="69"/>
      <c r="F18" s="69"/>
      <c r="G18" s="74"/>
    </row>
    <row r="19" spans="1:7" ht="14.25" customHeight="1" x14ac:dyDescent="0.25">
      <c r="A19" s="44"/>
      <c r="B19" s="1"/>
      <c r="C19" s="2"/>
      <c r="D19" s="1"/>
      <c r="E19" s="1"/>
      <c r="F19" s="1"/>
      <c r="G19" s="7"/>
    </row>
    <row r="20" spans="1:7" ht="14.25" customHeight="1" x14ac:dyDescent="0.25">
      <c r="A20" s="51" t="s">
        <v>15</v>
      </c>
      <c r="B20" s="56" t="s">
        <v>16</v>
      </c>
      <c r="C20" s="57" t="s">
        <v>17</v>
      </c>
      <c r="D20" s="56" t="s">
        <v>18</v>
      </c>
      <c r="E20" s="56" t="s">
        <v>19</v>
      </c>
      <c r="F20" s="58" t="s">
        <v>151</v>
      </c>
      <c r="G20" s="59" t="s">
        <v>50</v>
      </c>
    </row>
    <row r="21" spans="1:7" ht="14.25" customHeight="1" x14ac:dyDescent="0.25">
      <c r="A21" s="116" t="s">
        <v>152</v>
      </c>
      <c r="B21" s="28">
        <v>1</v>
      </c>
      <c r="C21" s="60" t="s">
        <v>153</v>
      </c>
      <c r="D21" s="35">
        <v>10</v>
      </c>
      <c r="E21" s="35">
        <v>1</v>
      </c>
      <c r="F21" s="36">
        <v>0</v>
      </c>
      <c r="G21" s="35">
        <f t="shared" ref="G21:G38" si="0">+D21*F21</f>
        <v>0</v>
      </c>
    </row>
    <row r="22" spans="1:7" ht="14.25" customHeight="1" x14ac:dyDescent="0.25">
      <c r="A22" s="73"/>
      <c r="B22" s="28">
        <v>2</v>
      </c>
      <c r="C22" s="60" t="s">
        <v>154</v>
      </c>
      <c r="D22" s="35">
        <v>17</v>
      </c>
      <c r="E22" s="35">
        <v>1</v>
      </c>
      <c r="F22" s="36">
        <v>0</v>
      </c>
      <c r="G22" s="35">
        <f t="shared" si="0"/>
        <v>0</v>
      </c>
    </row>
    <row r="23" spans="1:7" ht="14.25" customHeight="1" x14ac:dyDescent="0.25">
      <c r="A23" s="73"/>
      <c r="B23" s="28">
        <v>3</v>
      </c>
      <c r="C23" s="60" t="s">
        <v>155</v>
      </c>
      <c r="D23" s="35">
        <v>17</v>
      </c>
      <c r="E23" s="35">
        <v>1</v>
      </c>
      <c r="F23" s="36">
        <v>0</v>
      </c>
      <c r="G23" s="35">
        <f t="shared" si="0"/>
        <v>0</v>
      </c>
    </row>
    <row r="24" spans="1:7" ht="14.25" customHeight="1" x14ac:dyDescent="0.25">
      <c r="A24" s="73"/>
      <c r="B24" s="28">
        <v>4</v>
      </c>
      <c r="C24" s="60" t="s">
        <v>156</v>
      </c>
      <c r="D24" s="35">
        <v>17</v>
      </c>
      <c r="E24" s="35">
        <v>1</v>
      </c>
      <c r="F24" s="36">
        <v>0</v>
      </c>
      <c r="G24" s="35">
        <f t="shared" si="0"/>
        <v>0</v>
      </c>
    </row>
    <row r="25" spans="1:7" ht="14.25" customHeight="1" x14ac:dyDescent="0.25">
      <c r="A25" s="73"/>
      <c r="B25" s="28">
        <v>5</v>
      </c>
      <c r="C25" s="60" t="s">
        <v>157</v>
      </c>
      <c r="D25" s="35">
        <v>17</v>
      </c>
      <c r="E25" s="35">
        <v>1</v>
      </c>
      <c r="F25" s="36">
        <v>0</v>
      </c>
      <c r="G25" s="35">
        <f t="shared" si="0"/>
        <v>0</v>
      </c>
    </row>
    <row r="26" spans="1:7" ht="14.25" customHeight="1" x14ac:dyDescent="0.25">
      <c r="A26" s="73"/>
      <c r="B26" s="28">
        <v>6</v>
      </c>
      <c r="C26" s="60" t="s">
        <v>158</v>
      </c>
      <c r="D26" s="35">
        <v>17</v>
      </c>
      <c r="E26" s="35">
        <v>5</v>
      </c>
      <c r="F26" s="36">
        <v>0</v>
      </c>
      <c r="G26" s="35">
        <f t="shared" si="0"/>
        <v>0</v>
      </c>
    </row>
    <row r="27" spans="1:7" ht="14.25" customHeight="1" x14ac:dyDescent="0.25">
      <c r="A27" s="73"/>
      <c r="B27" s="28">
        <v>7</v>
      </c>
      <c r="C27" s="60" t="s">
        <v>159</v>
      </c>
      <c r="D27" s="35">
        <v>17</v>
      </c>
      <c r="E27" s="35">
        <v>5</v>
      </c>
      <c r="F27" s="36">
        <v>0</v>
      </c>
      <c r="G27" s="35">
        <f t="shared" si="0"/>
        <v>0</v>
      </c>
    </row>
    <row r="28" spans="1:7" ht="14.25" customHeight="1" x14ac:dyDescent="0.25">
      <c r="A28" s="73"/>
      <c r="B28" s="28">
        <v>8</v>
      </c>
      <c r="C28" s="60" t="s">
        <v>160</v>
      </c>
      <c r="D28" s="35">
        <v>17</v>
      </c>
      <c r="E28" s="35">
        <v>5</v>
      </c>
      <c r="F28" s="36">
        <v>0</v>
      </c>
      <c r="G28" s="35">
        <f t="shared" si="0"/>
        <v>0</v>
      </c>
    </row>
    <row r="29" spans="1:7" ht="14.25" customHeight="1" x14ac:dyDescent="0.25">
      <c r="A29" s="73"/>
      <c r="B29" s="28">
        <v>9</v>
      </c>
      <c r="C29" s="60" t="s">
        <v>161</v>
      </c>
      <c r="D29" s="35">
        <v>17</v>
      </c>
      <c r="E29" s="35">
        <v>5</v>
      </c>
      <c r="F29" s="36">
        <v>0</v>
      </c>
      <c r="G29" s="35">
        <f t="shared" si="0"/>
        <v>0</v>
      </c>
    </row>
    <row r="30" spans="1:7" ht="14.25" customHeight="1" x14ac:dyDescent="0.25">
      <c r="A30" s="73"/>
      <c r="B30" s="28">
        <v>10</v>
      </c>
      <c r="C30" s="60" t="s">
        <v>162</v>
      </c>
      <c r="D30" s="35">
        <v>17</v>
      </c>
      <c r="E30" s="35">
        <v>5</v>
      </c>
      <c r="F30" s="36">
        <v>0</v>
      </c>
      <c r="G30" s="35">
        <f t="shared" si="0"/>
        <v>0</v>
      </c>
    </row>
    <row r="31" spans="1:7" ht="14.25" customHeight="1" x14ac:dyDescent="0.25">
      <c r="A31" s="73"/>
      <c r="B31" s="28">
        <v>11</v>
      </c>
      <c r="C31" s="60" t="s">
        <v>163</v>
      </c>
      <c r="D31" s="35">
        <v>17</v>
      </c>
      <c r="E31" s="35">
        <v>5</v>
      </c>
      <c r="F31" s="36">
        <v>0</v>
      </c>
      <c r="G31" s="35">
        <f t="shared" si="0"/>
        <v>0</v>
      </c>
    </row>
    <row r="32" spans="1:7" ht="14.25" customHeight="1" x14ac:dyDescent="0.25">
      <c r="A32" s="73"/>
      <c r="B32" s="28">
        <v>12</v>
      </c>
      <c r="C32" s="60" t="s">
        <v>164</v>
      </c>
      <c r="D32" s="35">
        <v>17</v>
      </c>
      <c r="E32" s="35">
        <v>5</v>
      </c>
      <c r="F32" s="36">
        <v>0</v>
      </c>
      <c r="G32" s="35">
        <f t="shared" si="0"/>
        <v>0</v>
      </c>
    </row>
    <row r="33" spans="1:7" ht="14.25" customHeight="1" x14ac:dyDescent="0.25">
      <c r="A33" s="73"/>
      <c r="B33" s="28">
        <v>13</v>
      </c>
      <c r="C33" s="60" t="s">
        <v>165</v>
      </c>
      <c r="D33" s="35">
        <v>17</v>
      </c>
      <c r="E33" s="35">
        <v>5</v>
      </c>
      <c r="F33" s="36">
        <v>0</v>
      </c>
      <c r="G33" s="35">
        <f t="shared" si="0"/>
        <v>0</v>
      </c>
    </row>
    <row r="34" spans="1:7" ht="14.25" customHeight="1" x14ac:dyDescent="0.25">
      <c r="A34" s="73"/>
      <c r="B34" s="28">
        <v>14</v>
      </c>
      <c r="C34" s="60" t="s">
        <v>166</v>
      </c>
      <c r="D34" s="35">
        <v>17</v>
      </c>
      <c r="E34" s="35">
        <v>5</v>
      </c>
      <c r="F34" s="36">
        <v>0</v>
      </c>
      <c r="G34" s="35">
        <f t="shared" si="0"/>
        <v>0</v>
      </c>
    </row>
    <row r="35" spans="1:7" ht="14.25" customHeight="1" x14ac:dyDescent="0.25">
      <c r="A35" s="73"/>
      <c r="B35" s="28">
        <v>15</v>
      </c>
      <c r="C35" s="60" t="s">
        <v>167</v>
      </c>
      <c r="D35" s="35">
        <v>17</v>
      </c>
      <c r="E35" s="35">
        <v>5</v>
      </c>
      <c r="F35" s="36">
        <v>0</v>
      </c>
      <c r="G35" s="35">
        <f t="shared" si="0"/>
        <v>0</v>
      </c>
    </row>
    <row r="36" spans="1:7" ht="14.25" customHeight="1" x14ac:dyDescent="0.25">
      <c r="A36" s="73"/>
      <c r="B36" s="28">
        <v>16</v>
      </c>
      <c r="C36" s="60" t="s">
        <v>168</v>
      </c>
      <c r="D36" s="35">
        <v>17</v>
      </c>
      <c r="E36" s="35">
        <v>5</v>
      </c>
      <c r="F36" s="36">
        <v>0</v>
      </c>
      <c r="G36" s="35">
        <f t="shared" si="0"/>
        <v>0</v>
      </c>
    </row>
    <row r="37" spans="1:7" ht="14.25" customHeight="1" x14ac:dyDescent="0.25">
      <c r="A37" s="73"/>
      <c r="B37" s="28">
        <v>17</v>
      </c>
      <c r="C37" s="60" t="s">
        <v>169</v>
      </c>
      <c r="D37" s="35">
        <v>17</v>
      </c>
      <c r="E37" s="35">
        <v>5</v>
      </c>
      <c r="F37" s="36">
        <v>0</v>
      </c>
      <c r="G37" s="35">
        <f t="shared" si="0"/>
        <v>0</v>
      </c>
    </row>
    <row r="38" spans="1:7" ht="14.25" customHeight="1" x14ac:dyDescent="0.25">
      <c r="A38" s="73"/>
      <c r="B38" s="28">
        <v>18</v>
      </c>
      <c r="C38" s="60" t="s">
        <v>170</v>
      </c>
      <c r="D38" s="35">
        <v>17</v>
      </c>
      <c r="E38" s="35">
        <v>5</v>
      </c>
      <c r="F38" s="36">
        <v>0</v>
      </c>
      <c r="G38" s="35">
        <f t="shared" si="0"/>
        <v>0</v>
      </c>
    </row>
    <row r="39" spans="1:7" ht="18.75" customHeight="1" x14ac:dyDescent="0.25">
      <c r="A39" s="44"/>
      <c r="B39" s="1"/>
      <c r="C39" s="41" t="s">
        <v>92</v>
      </c>
      <c r="D39" s="40"/>
      <c r="E39" s="40"/>
      <c r="F39" s="42"/>
      <c r="G39" s="43">
        <f>SUM(G21:G38)</f>
        <v>0</v>
      </c>
    </row>
    <row r="40" spans="1:7" ht="14.25" customHeight="1" x14ac:dyDescent="0.25">
      <c r="A40" s="113" t="s">
        <v>171</v>
      </c>
      <c r="B40" s="79"/>
      <c r="C40" s="79"/>
      <c r="D40" s="79"/>
      <c r="E40" s="79"/>
      <c r="F40" s="79"/>
      <c r="G40" s="80"/>
    </row>
    <row r="41" spans="1:7" ht="14.25" customHeight="1" x14ac:dyDescent="0.25">
      <c r="A41" s="70"/>
      <c r="B41" s="71"/>
      <c r="C41" s="71"/>
      <c r="D41" s="71"/>
      <c r="E41" s="71"/>
      <c r="F41" s="71"/>
      <c r="G41" s="72"/>
    </row>
    <row r="42" spans="1:7" ht="14.25" customHeight="1" x14ac:dyDescent="0.25">
      <c r="A42" s="73"/>
      <c r="B42" s="69"/>
      <c r="C42" s="69"/>
      <c r="D42" s="69"/>
      <c r="E42" s="69"/>
      <c r="F42" s="69"/>
      <c r="G42" s="74"/>
    </row>
    <row r="43" spans="1:7" ht="14.25" customHeight="1" x14ac:dyDescent="0.25">
      <c r="A43" s="75"/>
      <c r="B43" s="76"/>
      <c r="C43" s="76"/>
      <c r="D43" s="76"/>
      <c r="E43" s="76"/>
      <c r="F43" s="76"/>
      <c r="G43" s="77"/>
    </row>
    <row r="44" spans="1:7" ht="14.25" customHeight="1" x14ac:dyDescent="0.25">
      <c r="A44" s="102" t="s">
        <v>45</v>
      </c>
      <c r="B44" s="71"/>
      <c r="C44" s="90"/>
      <c r="D44" s="103" t="s">
        <v>95</v>
      </c>
      <c r="E44" s="105" t="str">
        <f>IF(G39&lt;100,"Tidak teridentifikasi",IF(G39&gt;=100,"ADHD/HIPERAKTIF"))</f>
        <v>Tidak teridentifikasi</v>
      </c>
      <c r="F44" s="71"/>
      <c r="G44" s="72"/>
    </row>
    <row r="45" spans="1:7" ht="14.25" customHeight="1" x14ac:dyDescent="0.25">
      <c r="A45" s="91"/>
      <c r="B45" s="92"/>
      <c r="C45" s="93"/>
      <c r="D45" s="104"/>
      <c r="E45" s="106"/>
      <c r="F45" s="92"/>
      <c r="G45" s="107"/>
    </row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C8:G8"/>
    <mergeCell ref="C9:G9"/>
    <mergeCell ref="D44:D45"/>
    <mergeCell ref="E44:G45"/>
    <mergeCell ref="C10:G10"/>
    <mergeCell ref="A16:G16"/>
    <mergeCell ref="A18:G18"/>
    <mergeCell ref="A21:A38"/>
    <mergeCell ref="A40:G40"/>
    <mergeCell ref="A41:G43"/>
    <mergeCell ref="A44:C45"/>
    <mergeCell ref="A2:G2"/>
    <mergeCell ref="C4:G4"/>
    <mergeCell ref="C5:G5"/>
    <mergeCell ref="C6:G6"/>
    <mergeCell ref="C7:G7"/>
  </mergeCell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4.7109375" customWidth="1"/>
    <col min="3" max="3" width="36.7109375" customWidth="1"/>
    <col min="4" max="4" width="9" customWidth="1"/>
    <col min="5" max="5" width="7.28515625" customWidth="1"/>
    <col min="6" max="6" width="8.140625" customWidth="1"/>
    <col min="7" max="7" width="7.140625" customWidth="1"/>
    <col min="8" max="26" width="9" customWidth="1"/>
  </cols>
  <sheetData>
    <row r="1" spans="1:7" ht="14.25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14.25" customHeight="1" x14ac:dyDescent="0.25">
      <c r="A2" s="1"/>
      <c r="B2" s="1"/>
      <c r="C2" s="2"/>
      <c r="D2" s="1"/>
      <c r="E2" s="1"/>
      <c r="F2" s="1"/>
      <c r="G2" s="1"/>
    </row>
    <row r="3" spans="1:7" ht="14.25" customHeight="1" x14ac:dyDescent="0.25">
      <c r="A3" s="1" t="s">
        <v>1</v>
      </c>
      <c r="B3" s="1" t="s">
        <v>2</v>
      </c>
      <c r="C3" s="68"/>
      <c r="D3" s="69"/>
      <c r="E3" s="69"/>
      <c r="F3" s="69"/>
      <c r="G3" s="69"/>
    </row>
    <row r="4" spans="1:7" ht="14.25" customHeight="1" x14ac:dyDescent="0.25">
      <c r="A4" s="1" t="s">
        <v>3</v>
      </c>
      <c r="B4" s="1" t="s">
        <v>2</v>
      </c>
      <c r="C4" s="68"/>
      <c r="D4" s="69"/>
      <c r="E4" s="69"/>
      <c r="F4" s="69"/>
      <c r="G4" s="69"/>
    </row>
    <row r="5" spans="1:7" ht="14.25" customHeight="1" x14ac:dyDescent="0.25">
      <c r="A5" s="1" t="s">
        <v>4</v>
      </c>
      <c r="B5" s="1" t="s">
        <v>2</v>
      </c>
      <c r="C5" s="68"/>
      <c r="D5" s="69"/>
      <c r="E5" s="69"/>
      <c r="F5" s="69"/>
      <c r="G5" s="69"/>
    </row>
    <row r="6" spans="1:7" ht="14.25" customHeight="1" x14ac:dyDescent="0.25">
      <c r="A6" s="1" t="s">
        <v>5</v>
      </c>
      <c r="B6" s="1" t="s">
        <v>2</v>
      </c>
      <c r="C6" s="68"/>
      <c r="D6" s="69"/>
      <c r="E6" s="69"/>
      <c r="F6" s="69"/>
      <c r="G6" s="69"/>
    </row>
    <row r="7" spans="1:7" ht="14.25" customHeight="1" x14ac:dyDescent="0.25">
      <c r="A7" s="1" t="s">
        <v>6</v>
      </c>
      <c r="B7" s="1" t="s">
        <v>2</v>
      </c>
      <c r="C7" s="68"/>
      <c r="D7" s="69"/>
      <c r="E7" s="69"/>
      <c r="F7" s="69"/>
      <c r="G7" s="69"/>
    </row>
    <row r="8" spans="1:7" ht="14.2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/>
      <c r="B10" s="1"/>
      <c r="C10" s="3"/>
      <c r="D10" s="3"/>
      <c r="E10" s="3"/>
      <c r="F10" s="3"/>
      <c r="G10" s="3"/>
    </row>
    <row r="11" spans="1:7" ht="14.2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ht="14.2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/>
    <row r="15" spans="1:7" ht="14.25" customHeight="1" x14ac:dyDescent="0.25">
      <c r="A15" s="81" t="s">
        <v>172</v>
      </c>
      <c r="B15" s="82"/>
      <c r="C15" s="82"/>
      <c r="D15" s="82"/>
      <c r="E15" s="82"/>
      <c r="F15" s="82"/>
      <c r="G15" s="83"/>
    </row>
    <row r="16" spans="1:7" ht="14.25" customHeight="1" x14ac:dyDescent="0.25">
      <c r="A16" s="44"/>
      <c r="B16" s="1"/>
      <c r="C16" s="2"/>
      <c r="D16" s="1"/>
      <c r="E16" s="1"/>
      <c r="F16" s="1"/>
      <c r="G16" s="7"/>
    </row>
    <row r="17" spans="1:7" ht="14.25" customHeight="1" x14ac:dyDescent="0.25">
      <c r="A17" s="4" t="s">
        <v>13</v>
      </c>
      <c r="B17" s="5"/>
      <c r="C17" s="6"/>
      <c r="D17" s="5"/>
      <c r="E17" s="1"/>
      <c r="F17" s="1"/>
      <c r="G17" s="7"/>
    </row>
    <row r="18" spans="1:7" ht="14.25" customHeight="1" x14ac:dyDescent="0.25">
      <c r="A18" s="84" t="s">
        <v>14</v>
      </c>
      <c r="B18" s="76"/>
      <c r="C18" s="76"/>
      <c r="D18" s="76"/>
      <c r="E18" s="76"/>
      <c r="F18" s="76"/>
      <c r="G18" s="77"/>
    </row>
    <row r="19" spans="1:7" ht="14.25" customHeight="1" x14ac:dyDescent="0.25">
      <c r="A19" s="20" t="s">
        <v>15</v>
      </c>
      <c r="B19" s="9" t="s">
        <v>16</v>
      </c>
      <c r="C19" s="10" t="s">
        <v>17</v>
      </c>
      <c r="D19" s="9" t="s">
        <v>18</v>
      </c>
      <c r="E19" s="9" t="s">
        <v>19</v>
      </c>
      <c r="F19" s="11" t="s">
        <v>49</v>
      </c>
      <c r="G19" s="9" t="s">
        <v>50</v>
      </c>
    </row>
    <row r="20" spans="1:7" ht="15" customHeight="1" x14ac:dyDescent="0.25">
      <c r="A20" s="117" t="str">
        <f>A15</f>
        <v>IDENTIFIKASI HAMBATAN INTELEKTUAL KATEGORI LAMBAN BELAJAR/SLOW LEARNER</v>
      </c>
      <c r="B20" s="28">
        <v>1</v>
      </c>
      <c r="C20" s="13" t="s">
        <v>173</v>
      </c>
      <c r="D20" s="9">
        <v>20</v>
      </c>
      <c r="E20" s="35">
        <v>5</v>
      </c>
      <c r="F20" s="36">
        <v>0</v>
      </c>
      <c r="G20" s="35">
        <f t="shared" ref="G20:G29" si="0">+D20*F20</f>
        <v>0</v>
      </c>
    </row>
    <row r="21" spans="1:7" ht="14.25" customHeight="1" x14ac:dyDescent="0.25">
      <c r="A21" s="118"/>
      <c r="B21" s="28">
        <v>2</v>
      </c>
      <c r="C21" s="13" t="s">
        <v>174</v>
      </c>
      <c r="D21" s="9">
        <v>30</v>
      </c>
      <c r="E21" s="35">
        <v>4</v>
      </c>
      <c r="F21" s="36">
        <v>0</v>
      </c>
      <c r="G21" s="35">
        <f t="shared" si="0"/>
        <v>0</v>
      </c>
    </row>
    <row r="22" spans="1:7" ht="14.25" customHeight="1" x14ac:dyDescent="0.25">
      <c r="A22" s="118"/>
      <c r="B22" s="28">
        <v>3</v>
      </c>
      <c r="C22" s="13" t="s">
        <v>175</v>
      </c>
      <c r="D22" s="9">
        <v>30</v>
      </c>
      <c r="E22" s="35">
        <v>3</v>
      </c>
      <c r="F22" s="36">
        <v>0</v>
      </c>
      <c r="G22" s="35">
        <f t="shared" si="0"/>
        <v>0</v>
      </c>
    </row>
    <row r="23" spans="1:7" ht="14.25" customHeight="1" x14ac:dyDescent="0.25">
      <c r="A23" s="118"/>
      <c r="B23" s="28">
        <v>4</v>
      </c>
      <c r="C23" s="13" t="s">
        <v>176</v>
      </c>
      <c r="D23" s="9">
        <v>30</v>
      </c>
      <c r="E23" s="35">
        <v>3</v>
      </c>
      <c r="F23" s="36">
        <v>0</v>
      </c>
      <c r="G23" s="35">
        <f t="shared" si="0"/>
        <v>0</v>
      </c>
    </row>
    <row r="24" spans="1:7" ht="14.25" customHeight="1" x14ac:dyDescent="0.25">
      <c r="A24" s="118"/>
      <c r="B24" s="28">
        <v>5</v>
      </c>
      <c r="C24" s="13" t="s">
        <v>177</v>
      </c>
      <c r="D24" s="9">
        <v>30</v>
      </c>
      <c r="E24" s="35">
        <v>4</v>
      </c>
      <c r="F24" s="36">
        <v>0</v>
      </c>
      <c r="G24" s="35">
        <f t="shared" si="0"/>
        <v>0</v>
      </c>
    </row>
    <row r="25" spans="1:7" ht="14.25" customHeight="1" x14ac:dyDescent="0.25">
      <c r="A25" s="118"/>
      <c r="B25" s="28">
        <v>6</v>
      </c>
      <c r="C25" s="13" t="s">
        <v>178</v>
      </c>
      <c r="D25" s="9">
        <v>30</v>
      </c>
      <c r="E25" s="35">
        <v>4</v>
      </c>
      <c r="F25" s="36">
        <v>0</v>
      </c>
      <c r="G25" s="35">
        <f t="shared" si="0"/>
        <v>0</v>
      </c>
    </row>
    <row r="26" spans="1:7" ht="14.25" customHeight="1" x14ac:dyDescent="0.25">
      <c r="A26" s="118"/>
      <c r="B26" s="28">
        <v>7</v>
      </c>
      <c r="C26" s="61" t="s">
        <v>179</v>
      </c>
      <c r="D26" s="9">
        <v>30</v>
      </c>
      <c r="E26" s="9">
        <v>4</v>
      </c>
      <c r="F26" s="36">
        <v>0</v>
      </c>
      <c r="G26" s="35">
        <f t="shared" si="0"/>
        <v>0</v>
      </c>
    </row>
    <row r="27" spans="1:7" ht="14.25" customHeight="1" x14ac:dyDescent="0.25">
      <c r="A27" s="118"/>
      <c r="B27" s="28">
        <v>8</v>
      </c>
      <c r="C27" s="61" t="s">
        <v>180</v>
      </c>
      <c r="D27" s="9">
        <v>30</v>
      </c>
      <c r="E27" s="9">
        <v>5</v>
      </c>
      <c r="F27" s="36">
        <v>0</v>
      </c>
      <c r="G27" s="35">
        <f t="shared" si="0"/>
        <v>0</v>
      </c>
    </row>
    <row r="28" spans="1:7" ht="14.25" customHeight="1" x14ac:dyDescent="0.25">
      <c r="A28" s="118"/>
      <c r="B28" s="28">
        <v>9</v>
      </c>
      <c r="C28" s="61" t="s">
        <v>181</v>
      </c>
      <c r="D28" s="9">
        <v>30</v>
      </c>
      <c r="E28" s="9">
        <v>4</v>
      </c>
      <c r="F28" s="36">
        <v>0</v>
      </c>
      <c r="G28" s="35">
        <f t="shared" si="0"/>
        <v>0</v>
      </c>
    </row>
    <row r="29" spans="1:7" ht="14.25" customHeight="1" x14ac:dyDescent="0.25">
      <c r="A29" s="111"/>
      <c r="B29" s="28">
        <v>10</v>
      </c>
      <c r="C29" s="61" t="s">
        <v>182</v>
      </c>
      <c r="D29" s="9">
        <v>30</v>
      </c>
      <c r="E29" s="9">
        <v>4</v>
      </c>
      <c r="F29" s="36">
        <v>0</v>
      </c>
      <c r="G29" s="35">
        <f t="shared" si="0"/>
        <v>0</v>
      </c>
    </row>
    <row r="30" spans="1:7" ht="14.25" customHeight="1" x14ac:dyDescent="0.25">
      <c r="A30" s="19"/>
      <c r="B30" s="19"/>
      <c r="C30" s="33" t="s">
        <v>92</v>
      </c>
      <c r="D30" s="19"/>
      <c r="E30" s="19"/>
      <c r="F30" s="53"/>
      <c r="G30" s="35">
        <f>SUM(G20:G29)</f>
        <v>0</v>
      </c>
    </row>
    <row r="31" spans="1:7" ht="27.75" customHeight="1" x14ac:dyDescent="0.25">
      <c r="A31" s="119" t="s">
        <v>183</v>
      </c>
      <c r="B31" s="79"/>
      <c r="C31" s="79"/>
      <c r="D31" s="79"/>
      <c r="E31" s="79"/>
      <c r="F31" s="79"/>
      <c r="G31" s="80"/>
    </row>
    <row r="32" spans="1:7" ht="14.25" customHeight="1" x14ac:dyDescent="0.25">
      <c r="A32" s="70"/>
      <c r="B32" s="71"/>
      <c r="C32" s="71"/>
      <c r="D32" s="71"/>
      <c r="E32" s="71"/>
      <c r="F32" s="71"/>
      <c r="G32" s="72"/>
    </row>
    <row r="33" spans="1:7" ht="14.25" customHeight="1" x14ac:dyDescent="0.25">
      <c r="A33" s="73"/>
      <c r="B33" s="69"/>
      <c r="C33" s="69"/>
      <c r="D33" s="69"/>
      <c r="E33" s="69"/>
      <c r="F33" s="69"/>
      <c r="G33" s="74"/>
    </row>
    <row r="34" spans="1:7" ht="14.25" customHeight="1" x14ac:dyDescent="0.25">
      <c r="A34" s="75"/>
      <c r="B34" s="76"/>
      <c r="C34" s="76"/>
      <c r="D34" s="76"/>
      <c r="E34" s="76"/>
      <c r="F34" s="76"/>
      <c r="G34" s="77"/>
    </row>
    <row r="35" spans="1:7" ht="14.25" customHeight="1" x14ac:dyDescent="0.25">
      <c r="A35" s="102" t="s">
        <v>45</v>
      </c>
      <c r="B35" s="71"/>
      <c r="C35" s="90"/>
      <c r="D35" s="103" t="s">
        <v>95</v>
      </c>
      <c r="E35" s="105" t="str">
        <f>IF(G30&lt;100,"Tidak teridentifikasi",IF(G30&gt;=100,"SLOW LEARNER/LAMBAN BELAJAR"))</f>
        <v>Tidak teridentifikasi</v>
      </c>
      <c r="F35" s="71"/>
      <c r="G35" s="72"/>
    </row>
    <row r="36" spans="1:7" ht="14.25" customHeight="1" x14ac:dyDescent="0.25">
      <c r="A36" s="91"/>
      <c r="B36" s="92"/>
      <c r="C36" s="93"/>
      <c r="D36" s="104"/>
      <c r="E36" s="106"/>
      <c r="F36" s="92"/>
      <c r="G36" s="107"/>
    </row>
    <row r="37" spans="1:7" ht="14.25" customHeight="1" x14ac:dyDescent="0.25"/>
    <row r="38" spans="1:7" ht="14.25" customHeight="1" x14ac:dyDescent="0.25"/>
    <row r="39" spans="1:7" ht="14.25" customHeight="1" x14ac:dyDescent="0.25"/>
    <row r="40" spans="1:7" ht="14.25" customHeight="1" x14ac:dyDescent="0.25"/>
    <row r="41" spans="1:7" ht="14.25" customHeight="1" x14ac:dyDescent="0.25"/>
    <row r="42" spans="1:7" ht="14.25" customHeight="1" x14ac:dyDescent="0.25"/>
    <row r="43" spans="1:7" ht="14.25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C7:G7"/>
    <mergeCell ref="C8:G8"/>
    <mergeCell ref="D35:D36"/>
    <mergeCell ref="E35:G36"/>
    <mergeCell ref="C9:G9"/>
    <mergeCell ref="A15:G15"/>
    <mergeCell ref="A18:G18"/>
    <mergeCell ref="A20:A29"/>
    <mergeCell ref="A31:G31"/>
    <mergeCell ref="A32:G34"/>
    <mergeCell ref="A35:C36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/>
  </sheetViews>
  <sheetFormatPr defaultColWidth="14.42578125" defaultRowHeight="15" customHeight="1" x14ac:dyDescent="0.25"/>
  <cols>
    <col min="1" max="1" width="12.5703125" customWidth="1"/>
    <col min="2" max="2" width="5.28515625" customWidth="1"/>
    <col min="3" max="3" width="36.7109375" customWidth="1"/>
    <col min="4" max="4" width="9" customWidth="1"/>
    <col min="5" max="5" width="8.5703125" customWidth="1"/>
    <col min="6" max="6" width="7.140625" customWidth="1"/>
    <col min="7" max="7" width="7.7109375" customWidth="1"/>
    <col min="8" max="26" width="9" customWidth="1"/>
  </cols>
  <sheetData>
    <row r="1" spans="1:7" ht="14.25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14.25" customHeight="1" x14ac:dyDescent="0.25">
      <c r="A2" s="1"/>
      <c r="B2" s="1"/>
      <c r="C2" s="2"/>
      <c r="D2" s="1"/>
      <c r="E2" s="1"/>
      <c r="F2" s="1"/>
      <c r="G2" s="1"/>
    </row>
    <row r="3" spans="1:7" ht="14.25" customHeight="1" x14ac:dyDescent="0.25">
      <c r="A3" s="1" t="s">
        <v>1</v>
      </c>
      <c r="B3" s="1" t="s">
        <v>2</v>
      </c>
      <c r="C3" s="68"/>
      <c r="D3" s="69"/>
      <c r="E3" s="69"/>
      <c r="F3" s="69"/>
      <c r="G3" s="69"/>
    </row>
    <row r="4" spans="1:7" ht="14.25" customHeight="1" x14ac:dyDescent="0.25">
      <c r="A4" s="1" t="s">
        <v>3</v>
      </c>
      <c r="B4" s="1" t="s">
        <v>2</v>
      </c>
      <c r="C4" s="68"/>
      <c r="D4" s="69"/>
      <c r="E4" s="69"/>
      <c r="F4" s="69"/>
      <c r="G4" s="69"/>
    </row>
    <row r="5" spans="1:7" ht="14.25" customHeight="1" x14ac:dyDescent="0.25">
      <c r="A5" s="1" t="s">
        <v>4</v>
      </c>
      <c r="B5" s="1" t="s">
        <v>2</v>
      </c>
      <c r="C5" s="68"/>
      <c r="D5" s="69"/>
      <c r="E5" s="69"/>
      <c r="F5" s="69"/>
      <c r="G5" s="69"/>
    </row>
    <row r="6" spans="1:7" ht="14.25" customHeight="1" x14ac:dyDescent="0.25">
      <c r="A6" s="1" t="s">
        <v>5</v>
      </c>
      <c r="B6" s="1" t="s">
        <v>2</v>
      </c>
      <c r="C6" s="68"/>
      <c r="D6" s="69"/>
      <c r="E6" s="69"/>
      <c r="F6" s="69"/>
      <c r="G6" s="69"/>
    </row>
    <row r="7" spans="1:7" ht="14.25" customHeight="1" x14ac:dyDescent="0.25">
      <c r="A7" s="1" t="s">
        <v>6</v>
      </c>
      <c r="B7" s="1" t="s">
        <v>2</v>
      </c>
      <c r="C7" s="68"/>
      <c r="D7" s="69"/>
      <c r="E7" s="69"/>
      <c r="F7" s="69"/>
      <c r="G7" s="69"/>
    </row>
    <row r="8" spans="1:7" ht="14.2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/>
      <c r="B10" s="1"/>
      <c r="C10" s="3"/>
      <c r="D10" s="3"/>
      <c r="E10" s="3"/>
      <c r="F10" s="3"/>
      <c r="G10" s="3"/>
    </row>
    <row r="11" spans="1:7" ht="14.2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ht="14.2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>
      <c r="A14" s="1"/>
      <c r="B14" s="1"/>
      <c r="C14" s="3"/>
      <c r="D14" s="3"/>
      <c r="E14" s="3"/>
      <c r="F14" s="3"/>
      <c r="G14" s="3"/>
    </row>
    <row r="15" spans="1:7" ht="14.25" customHeight="1" x14ac:dyDescent="0.25">
      <c r="A15" s="81" t="s">
        <v>184</v>
      </c>
      <c r="B15" s="82"/>
      <c r="C15" s="82"/>
      <c r="D15" s="82"/>
      <c r="E15" s="82"/>
      <c r="F15" s="82"/>
      <c r="G15" s="83"/>
    </row>
    <row r="16" spans="1:7" ht="14.25" customHeight="1" x14ac:dyDescent="0.25">
      <c r="A16" s="4" t="s">
        <v>13</v>
      </c>
      <c r="B16" s="5"/>
      <c r="C16" s="6"/>
      <c r="D16" s="5"/>
      <c r="E16" s="1"/>
      <c r="F16" s="1"/>
      <c r="G16" s="7"/>
    </row>
    <row r="17" spans="1:7" ht="15" customHeight="1" x14ac:dyDescent="0.25">
      <c r="A17" s="108" t="s">
        <v>14</v>
      </c>
      <c r="B17" s="69"/>
      <c r="C17" s="69"/>
      <c r="D17" s="69"/>
      <c r="E17" s="69"/>
      <c r="F17" s="69"/>
      <c r="G17" s="74"/>
    </row>
    <row r="18" spans="1:7" ht="15" customHeight="1" x14ac:dyDescent="0.25">
      <c r="A18" s="84"/>
      <c r="B18" s="76"/>
      <c r="C18" s="76"/>
      <c r="D18" s="76"/>
      <c r="E18" s="76"/>
      <c r="F18" s="76"/>
      <c r="G18" s="77"/>
    </row>
    <row r="19" spans="1:7" ht="14.25" customHeight="1" x14ac:dyDescent="0.25">
      <c r="A19" s="51" t="s">
        <v>15</v>
      </c>
      <c r="B19" s="23" t="s">
        <v>16</v>
      </c>
      <c r="C19" s="24" t="s">
        <v>17</v>
      </c>
      <c r="D19" s="23" t="s">
        <v>18</v>
      </c>
      <c r="E19" s="23" t="s">
        <v>19</v>
      </c>
      <c r="F19" s="24" t="s">
        <v>49</v>
      </c>
      <c r="G19" s="27" t="s">
        <v>50</v>
      </c>
    </row>
    <row r="20" spans="1:7" ht="14.25" customHeight="1" x14ac:dyDescent="0.25">
      <c r="A20" s="85" t="s">
        <v>185</v>
      </c>
      <c r="B20" s="28">
        <v>1</v>
      </c>
      <c r="C20" s="13" t="s">
        <v>186</v>
      </c>
      <c r="D20" s="35">
        <v>50</v>
      </c>
      <c r="E20" s="35">
        <v>3</v>
      </c>
      <c r="F20" s="36">
        <v>0</v>
      </c>
      <c r="G20" s="37">
        <f t="shared" ref="G20:G31" si="0">+D20*F20</f>
        <v>0</v>
      </c>
    </row>
    <row r="21" spans="1:7" ht="14.25" customHeight="1" x14ac:dyDescent="0.25">
      <c r="A21" s="86"/>
      <c r="B21" s="28">
        <v>2</v>
      </c>
      <c r="C21" s="13" t="s">
        <v>187</v>
      </c>
      <c r="D21" s="35">
        <v>50</v>
      </c>
      <c r="E21" s="35">
        <v>1</v>
      </c>
      <c r="F21" s="36">
        <v>0</v>
      </c>
      <c r="G21" s="37">
        <f t="shared" si="0"/>
        <v>0</v>
      </c>
    </row>
    <row r="22" spans="1:7" ht="14.25" customHeight="1" x14ac:dyDescent="0.25">
      <c r="A22" s="87"/>
      <c r="B22" s="28">
        <v>3</v>
      </c>
      <c r="C22" s="13" t="s">
        <v>188</v>
      </c>
      <c r="D22" s="35">
        <v>50</v>
      </c>
      <c r="E22" s="35">
        <v>1</v>
      </c>
      <c r="F22" s="36">
        <v>0</v>
      </c>
      <c r="G22" s="37">
        <f t="shared" si="0"/>
        <v>0</v>
      </c>
    </row>
    <row r="23" spans="1:7" ht="14.25" customHeight="1" x14ac:dyDescent="0.25">
      <c r="A23" s="85" t="s">
        <v>189</v>
      </c>
      <c r="B23" s="28">
        <v>1</v>
      </c>
      <c r="C23" s="13" t="s">
        <v>190</v>
      </c>
      <c r="D23" s="35">
        <v>50</v>
      </c>
      <c r="E23" s="35">
        <v>3</v>
      </c>
      <c r="F23" s="36">
        <v>0</v>
      </c>
      <c r="G23" s="37">
        <f t="shared" si="0"/>
        <v>0</v>
      </c>
    </row>
    <row r="24" spans="1:7" ht="14.25" customHeight="1" x14ac:dyDescent="0.25">
      <c r="A24" s="86"/>
      <c r="B24" s="28">
        <v>2</v>
      </c>
      <c r="C24" s="13" t="s">
        <v>191</v>
      </c>
      <c r="D24" s="35">
        <v>50</v>
      </c>
      <c r="E24" s="35">
        <v>3</v>
      </c>
      <c r="F24" s="36">
        <v>0</v>
      </c>
      <c r="G24" s="37">
        <f t="shared" si="0"/>
        <v>0</v>
      </c>
    </row>
    <row r="25" spans="1:7" ht="14.25" customHeight="1" x14ac:dyDescent="0.25">
      <c r="A25" s="86"/>
      <c r="B25" s="28">
        <v>3</v>
      </c>
      <c r="C25" s="13" t="s">
        <v>192</v>
      </c>
      <c r="D25" s="35">
        <v>50</v>
      </c>
      <c r="E25" s="35">
        <v>3</v>
      </c>
      <c r="F25" s="36">
        <v>0</v>
      </c>
      <c r="G25" s="37">
        <f t="shared" si="0"/>
        <v>0</v>
      </c>
    </row>
    <row r="26" spans="1:7" ht="14.25" customHeight="1" x14ac:dyDescent="0.25">
      <c r="A26" s="87"/>
      <c r="B26" s="28">
        <v>4</v>
      </c>
      <c r="C26" s="13" t="s">
        <v>193</v>
      </c>
      <c r="D26" s="35">
        <v>50</v>
      </c>
      <c r="E26" s="35">
        <v>4</v>
      </c>
      <c r="F26" s="36">
        <v>0</v>
      </c>
      <c r="G26" s="37">
        <f t="shared" si="0"/>
        <v>0</v>
      </c>
    </row>
    <row r="27" spans="1:7" ht="14.25" customHeight="1" x14ac:dyDescent="0.25">
      <c r="A27" s="121" t="s">
        <v>194</v>
      </c>
      <c r="B27" s="28">
        <v>1</v>
      </c>
      <c r="C27" s="13" t="s">
        <v>195</v>
      </c>
      <c r="D27" s="35">
        <v>50</v>
      </c>
      <c r="E27" s="35">
        <v>4</v>
      </c>
      <c r="F27" s="36">
        <v>0</v>
      </c>
      <c r="G27" s="37">
        <f t="shared" si="0"/>
        <v>0</v>
      </c>
    </row>
    <row r="28" spans="1:7" ht="14.25" customHeight="1" x14ac:dyDescent="0.25">
      <c r="A28" s="86"/>
      <c r="B28" s="28">
        <v>2</v>
      </c>
      <c r="C28" s="13" t="s">
        <v>196</v>
      </c>
      <c r="D28" s="35">
        <v>50</v>
      </c>
      <c r="E28" s="35">
        <v>4</v>
      </c>
      <c r="F28" s="36">
        <v>0</v>
      </c>
      <c r="G28" s="37">
        <f t="shared" si="0"/>
        <v>0</v>
      </c>
    </row>
    <row r="29" spans="1:7" ht="14.25" customHeight="1" x14ac:dyDescent="0.25">
      <c r="A29" s="86"/>
      <c r="B29" s="28">
        <v>3</v>
      </c>
      <c r="C29" s="13" t="s">
        <v>197</v>
      </c>
      <c r="D29" s="35">
        <v>50</v>
      </c>
      <c r="E29" s="35">
        <v>3</v>
      </c>
      <c r="F29" s="36">
        <v>0</v>
      </c>
      <c r="G29" s="37">
        <f t="shared" si="0"/>
        <v>0</v>
      </c>
    </row>
    <row r="30" spans="1:7" ht="14.25" customHeight="1" x14ac:dyDescent="0.25">
      <c r="A30" s="86"/>
      <c r="B30" s="28">
        <v>4</v>
      </c>
      <c r="C30" s="13" t="s">
        <v>198</v>
      </c>
      <c r="D30" s="35">
        <v>50</v>
      </c>
      <c r="E30" s="35">
        <v>3</v>
      </c>
      <c r="F30" s="36">
        <v>0</v>
      </c>
      <c r="G30" s="37">
        <f t="shared" si="0"/>
        <v>0</v>
      </c>
    </row>
    <row r="31" spans="1:7" ht="14.25" customHeight="1" x14ac:dyDescent="0.25">
      <c r="A31" s="87"/>
      <c r="B31" s="28">
        <v>5</v>
      </c>
      <c r="C31" s="13" t="s">
        <v>199</v>
      </c>
      <c r="D31" s="35">
        <v>50</v>
      </c>
      <c r="E31" s="35">
        <v>4</v>
      </c>
      <c r="F31" s="36">
        <v>0</v>
      </c>
      <c r="G31" s="37">
        <f t="shared" si="0"/>
        <v>0</v>
      </c>
    </row>
    <row r="32" spans="1:7" ht="14.25" customHeight="1" x14ac:dyDescent="0.25">
      <c r="A32" s="113" t="s">
        <v>200</v>
      </c>
      <c r="B32" s="79"/>
      <c r="C32" s="79"/>
      <c r="D32" s="79"/>
      <c r="E32" s="79"/>
      <c r="F32" s="79"/>
      <c r="G32" s="80"/>
    </row>
    <row r="33" spans="1:7" ht="14.25" customHeight="1" x14ac:dyDescent="0.25">
      <c r="A33" s="70"/>
      <c r="B33" s="71"/>
      <c r="C33" s="71"/>
      <c r="D33" s="71"/>
      <c r="E33" s="71"/>
      <c r="F33" s="71"/>
      <c r="G33" s="72"/>
    </row>
    <row r="34" spans="1:7" ht="14.25" customHeight="1" x14ac:dyDescent="0.25">
      <c r="A34" s="73"/>
      <c r="B34" s="69"/>
      <c r="C34" s="69"/>
      <c r="D34" s="69"/>
      <c r="E34" s="69"/>
      <c r="F34" s="69"/>
      <c r="G34" s="74"/>
    </row>
    <row r="35" spans="1:7" ht="14.25" customHeight="1" x14ac:dyDescent="0.25">
      <c r="A35" s="75"/>
      <c r="B35" s="76"/>
      <c r="C35" s="76"/>
      <c r="D35" s="76"/>
      <c r="E35" s="76"/>
      <c r="F35" s="76"/>
      <c r="G35" s="77"/>
    </row>
    <row r="36" spans="1:7" ht="14.25" customHeight="1" x14ac:dyDescent="0.25">
      <c r="A36" s="44"/>
      <c r="B36" s="1"/>
      <c r="C36" s="62" t="s">
        <v>42</v>
      </c>
      <c r="D36" s="40"/>
      <c r="E36" s="40"/>
      <c r="F36" s="40"/>
      <c r="G36" s="63">
        <f>SUM(G20:G22)</f>
        <v>0</v>
      </c>
    </row>
    <row r="37" spans="1:7" ht="14.25" customHeight="1" x14ac:dyDescent="0.25">
      <c r="A37" s="44"/>
      <c r="B37" s="1"/>
      <c r="C37" s="17" t="s">
        <v>43</v>
      </c>
      <c r="D37" s="19"/>
      <c r="E37" s="19"/>
      <c r="F37" s="19"/>
      <c r="G37" s="31">
        <f>SUM(G23:G26)</f>
        <v>0</v>
      </c>
    </row>
    <row r="38" spans="1:7" ht="14.25" customHeight="1" x14ac:dyDescent="0.25">
      <c r="A38" s="44"/>
      <c r="B38" s="1"/>
      <c r="C38" s="17" t="s">
        <v>201</v>
      </c>
      <c r="D38" s="19"/>
      <c r="E38" s="19"/>
      <c r="F38" s="19"/>
      <c r="G38" s="31">
        <f>SUM(G27:G31)</f>
        <v>0</v>
      </c>
    </row>
    <row r="39" spans="1:7" ht="14.25" customHeight="1" x14ac:dyDescent="0.25">
      <c r="A39" s="102" t="s">
        <v>45</v>
      </c>
      <c r="B39" s="71"/>
      <c r="C39" s="90"/>
      <c r="D39" s="19" t="s">
        <v>64</v>
      </c>
      <c r="E39" s="78" t="str">
        <f>IF(G36&lt;100,"Tidak teridentifikasi",IF(G36&gt;=100,"DISKLEKSIA"))</f>
        <v>Tidak teridentifikasi</v>
      </c>
      <c r="F39" s="79"/>
      <c r="G39" s="80"/>
    </row>
    <row r="40" spans="1:7" ht="14.25" customHeight="1" x14ac:dyDescent="0.25">
      <c r="A40" s="73"/>
      <c r="B40" s="69"/>
      <c r="C40" s="120"/>
      <c r="D40" s="19" t="s">
        <v>47</v>
      </c>
      <c r="E40" s="78" t="str">
        <f>IF(G37&lt;100,"Tidak teridentifikasi",IF(G37&gt;=100,"DISGRAFIA"))</f>
        <v>Tidak teridentifikasi</v>
      </c>
      <c r="F40" s="79"/>
      <c r="G40" s="80"/>
    </row>
    <row r="41" spans="1:7" ht="14.25" customHeight="1" x14ac:dyDescent="0.25">
      <c r="A41" s="91"/>
      <c r="B41" s="92"/>
      <c r="C41" s="93"/>
      <c r="D41" s="21" t="s">
        <v>202</v>
      </c>
      <c r="E41" s="94" t="str">
        <f>IF(G38&lt;100,"Tidak teridentifikasi",IF(G38&gt;=100,"DISKALKULIA"))</f>
        <v>Tidak teridentifikasi</v>
      </c>
      <c r="F41" s="95"/>
      <c r="G41" s="96"/>
    </row>
    <row r="42" spans="1:7" ht="14.25" customHeight="1" x14ac:dyDescent="0.25"/>
    <row r="43" spans="1:7" ht="14.25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0">
    <mergeCell ref="C7:G7"/>
    <mergeCell ref="C8:G8"/>
    <mergeCell ref="A32:G32"/>
    <mergeCell ref="A33:G35"/>
    <mergeCell ref="A39:C41"/>
    <mergeCell ref="E39:G39"/>
    <mergeCell ref="E40:G40"/>
    <mergeCell ref="E41:G41"/>
    <mergeCell ref="C9:G9"/>
    <mergeCell ref="A15:G15"/>
    <mergeCell ref="A17:G17"/>
    <mergeCell ref="A18:G18"/>
    <mergeCell ref="A20:A22"/>
    <mergeCell ref="A23:A26"/>
    <mergeCell ref="A27:A31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/>
  </sheetViews>
  <sheetFormatPr defaultColWidth="14.42578125" defaultRowHeight="15" customHeight="1" x14ac:dyDescent="0.25"/>
  <cols>
    <col min="1" max="1" width="13.5703125" customWidth="1"/>
    <col min="2" max="2" width="4.7109375" customWidth="1"/>
    <col min="3" max="3" width="36.7109375" customWidth="1"/>
    <col min="4" max="4" width="8" customWidth="1"/>
    <col min="5" max="5" width="7.85546875" customWidth="1"/>
    <col min="6" max="6" width="7.7109375" customWidth="1"/>
    <col min="7" max="7" width="6.5703125" customWidth="1"/>
    <col min="8" max="26" width="9" customWidth="1"/>
  </cols>
  <sheetData>
    <row r="1" spans="1:7" ht="14.25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14.25" customHeight="1" x14ac:dyDescent="0.25">
      <c r="A2" s="1"/>
      <c r="B2" s="1"/>
      <c r="C2" s="2"/>
      <c r="D2" s="1"/>
      <c r="E2" s="1"/>
      <c r="F2" s="1"/>
      <c r="G2" s="1"/>
    </row>
    <row r="3" spans="1:7" ht="14.25" customHeight="1" x14ac:dyDescent="0.25">
      <c r="A3" s="1" t="s">
        <v>1</v>
      </c>
      <c r="B3" s="1" t="s">
        <v>2</v>
      </c>
      <c r="C3" s="68"/>
      <c r="D3" s="69"/>
      <c r="E3" s="69"/>
      <c r="F3" s="69"/>
      <c r="G3" s="69"/>
    </row>
    <row r="4" spans="1:7" ht="14.25" customHeight="1" x14ac:dyDescent="0.25">
      <c r="A4" s="1" t="s">
        <v>3</v>
      </c>
      <c r="B4" s="1" t="s">
        <v>2</v>
      </c>
      <c r="C4" s="68"/>
      <c r="D4" s="69"/>
      <c r="E4" s="69"/>
      <c r="F4" s="69"/>
      <c r="G4" s="69"/>
    </row>
    <row r="5" spans="1:7" ht="14.25" customHeight="1" x14ac:dyDescent="0.25">
      <c r="A5" s="1" t="s">
        <v>4</v>
      </c>
      <c r="B5" s="1" t="s">
        <v>2</v>
      </c>
      <c r="C5" s="68"/>
      <c r="D5" s="69"/>
      <c r="E5" s="69"/>
      <c r="F5" s="69"/>
      <c r="G5" s="69"/>
    </row>
    <row r="6" spans="1:7" ht="14.25" customHeight="1" x14ac:dyDescent="0.25">
      <c r="A6" s="1" t="s">
        <v>5</v>
      </c>
      <c r="B6" s="1" t="s">
        <v>2</v>
      </c>
      <c r="C6" s="68"/>
      <c r="D6" s="69"/>
      <c r="E6" s="69"/>
      <c r="F6" s="69"/>
      <c r="G6" s="69"/>
    </row>
    <row r="7" spans="1:7" ht="14.25" customHeight="1" x14ac:dyDescent="0.25">
      <c r="A7" s="1" t="s">
        <v>6</v>
      </c>
      <c r="B7" s="1" t="s">
        <v>2</v>
      </c>
      <c r="C7" s="68"/>
      <c r="D7" s="69"/>
      <c r="E7" s="69"/>
      <c r="F7" s="69"/>
      <c r="G7" s="69"/>
    </row>
    <row r="8" spans="1:7" ht="14.25" customHeight="1" x14ac:dyDescent="0.25">
      <c r="A8" s="1" t="s">
        <v>7</v>
      </c>
      <c r="B8" s="1" t="s">
        <v>2</v>
      </c>
      <c r="C8" s="68"/>
      <c r="D8" s="69"/>
      <c r="E8" s="69"/>
      <c r="F8" s="69"/>
      <c r="G8" s="69"/>
    </row>
    <row r="9" spans="1:7" ht="14.25" customHeight="1" x14ac:dyDescent="0.25">
      <c r="A9" s="1" t="s">
        <v>8</v>
      </c>
      <c r="B9" s="1" t="s">
        <v>2</v>
      </c>
      <c r="C9" s="68"/>
      <c r="D9" s="69"/>
      <c r="E9" s="69"/>
      <c r="F9" s="69"/>
      <c r="G9" s="69"/>
    </row>
    <row r="10" spans="1:7" ht="14.25" customHeight="1" x14ac:dyDescent="0.25">
      <c r="A10" s="1"/>
      <c r="B10" s="1"/>
      <c r="C10" s="3"/>
      <c r="D10" s="3"/>
      <c r="E10" s="3"/>
      <c r="F10" s="3"/>
      <c r="G10" s="3"/>
    </row>
    <row r="11" spans="1:7" ht="14.25" customHeight="1" x14ac:dyDescent="0.25">
      <c r="A11" s="1" t="s">
        <v>9</v>
      </c>
      <c r="B11" s="1" t="s">
        <v>2</v>
      </c>
      <c r="C11" s="3"/>
      <c r="D11" s="3"/>
      <c r="E11" s="3"/>
      <c r="F11" s="3"/>
      <c r="G11" s="3"/>
    </row>
    <row r="12" spans="1:7" ht="14.25" customHeight="1" x14ac:dyDescent="0.25">
      <c r="A12" s="1" t="s">
        <v>10</v>
      </c>
      <c r="B12" s="1" t="s">
        <v>2</v>
      </c>
      <c r="C12" s="3"/>
      <c r="D12" s="3"/>
      <c r="E12" s="3"/>
      <c r="F12" s="3"/>
      <c r="G12" s="3"/>
    </row>
    <row r="13" spans="1:7" ht="14.25" customHeight="1" x14ac:dyDescent="0.25">
      <c r="A13" s="1" t="s">
        <v>11</v>
      </c>
      <c r="B13" s="1" t="s">
        <v>2</v>
      </c>
      <c r="C13" s="3"/>
      <c r="D13" s="3"/>
      <c r="E13" s="3"/>
      <c r="F13" s="3"/>
      <c r="G13" s="3"/>
    </row>
    <row r="14" spans="1:7" ht="14.25" customHeight="1" x14ac:dyDescent="0.25"/>
    <row r="15" spans="1:7" ht="14.25" customHeight="1" x14ac:dyDescent="0.25">
      <c r="A15" s="122" t="s">
        <v>203</v>
      </c>
      <c r="B15" s="123"/>
      <c r="C15" s="123"/>
      <c r="D15" s="123"/>
      <c r="E15" s="123"/>
      <c r="F15" s="123"/>
      <c r="G15" s="124"/>
    </row>
    <row r="16" spans="1:7" ht="14.25" customHeight="1" x14ac:dyDescent="0.25">
      <c r="A16" s="4" t="s">
        <v>13</v>
      </c>
      <c r="B16" s="5"/>
      <c r="C16" s="6"/>
      <c r="D16" s="5"/>
      <c r="E16" s="1"/>
      <c r="F16" s="1"/>
      <c r="G16" s="7"/>
    </row>
    <row r="17" spans="1:7" ht="14.25" customHeight="1" x14ac:dyDescent="0.25">
      <c r="A17" s="84" t="s">
        <v>14</v>
      </c>
      <c r="B17" s="76"/>
      <c r="C17" s="76"/>
      <c r="D17" s="76"/>
      <c r="E17" s="76"/>
      <c r="F17" s="76"/>
      <c r="G17" s="77"/>
    </row>
    <row r="18" spans="1:7" ht="14.25" customHeight="1" x14ac:dyDescent="0.25">
      <c r="A18" s="64" t="s">
        <v>15</v>
      </c>
      <c r="B18" s="23" t="s">
        <v>16</v>
      </c>
      <c r="C18" s="24" t="s">
        <v>17</v>
      </c>
      <c r="D18" s="23" t="s">
        <v>18</v>
      </c>
      <c r="E18" s="23" t="s">
        <v>19</v>
      </c>
      <c r="F18" s="24" t="s">
        <v>74</v>
      </c>
      <c r="G18" s="27" t="s">
        <v>50</v>
      </c>
    </row>
    <row r="19" spans="1:7" ht="12.75" customHeight="1" x14ac:dyDescent="0.25">
      <c r="A19" s="125" t="str">
        <f>A15</f>
        <v>IDENTIFIKASI CERDAS ISTIMEWA</v>
      </c>
      <c r="B19" s="28">
        <v>1</v>
      </c>
      <c r="C19" s="13" t="s">
        <v>204</v>
      </c>
      <c r="D19" s="35">
        <v>10</v>
      </c>
      <c r="E19" s="35">
        <v>4</v>
      </c>
      <c r="F19" s="36">
        <v>0</v>
      </c>
      <c r="G19" s="37">
        <f t="shared" ref="G19:G43" si="0">+D19*F19</f>
        <v>0</v>
      </c>
    </row>
    <row r="20" spans="1:7" ht="14.25" customHeight="1" x14ac:dyDescent="0.25">
      <c r="A20" s="86"/>
      <c r="B20" s="28">
        <v>2</v>
      </c>
      <c r="C20" s="13" t="s">
        <v>205</v>
      </c>
      <c r="D20" s="35">
        <v>10</v>
      </c>
      <c r="E20" s="35">
        <v>4</v>
      </c>
      <c r="F20" s="36">
        <v>0</v>
      </c>
      <c r="G20" s="37">
        <f t="shared" si="0"/>
        <v>0</v>
      </c>
    </row>
    <row r="21" spans="1:7" ht="14.25" customHeight="1" x14ac:dyDescent="0.25">
      <c r="A21" s="86"/>
      <c r="B21" s="28">
        <v>3</v>
      </c>
      <c r="C21" s="13" t="s">
        <v>206</v>
      </c>
      <c r="D21" s="35">
        <v>10</v>
      </c>
      <c r="E21" s="35">
        <v>4</v>
      </c>
      <c r="F21" s="36">
        <v>0</v>
      </c>
      <c r="G21" s="37">
        <f t="shared" si="0"/>
        <v>0</v>
      </c>
    </row>
    <row r="22" spans="1:7" ht="14.25" customHeight="1" x14ac:dyDescent="0.25">
      <c r="A22" s="86"/>
      <c r="B22" s="28">
        <v>4</v>
      </c>
      <c r="C22" s="13" t="s">
        <v>207</v>
      </c>
      <c r="D22" s="35">
        <v>10</v>
      </c>
      <c r="E22" s="35">
        <v>4</v>
      </c>
      <c r="F22" s="36">
        <v>0</v>
      </c>
      <c r="G22" s="37">
        <f t="shared" si="0"/>
        <v>0</v>
      </c>
    </row>
    <row r="23" spans="1:7" ht="14.25" customHeight="1" x14ac:dyDescent="0.25">
      <c r="A23" s="86"/>
      <c r="B23" s="28">
        <v>5</v>
      </c>
      <c r="C23" s="13" t="s">
        <v>208</v>
      </c>
      <c r="D23" s="35">
        <v>10</v>
      </c>
      <c r="E23" s="35">
        <v>4</v>
      </c>
      <c r="F23" s="36">
        <v>0</v>
      </c>
      <c r="G23" s="37">
        <f t="shared" si="0"/>
        <v>0</v>
      </c>
    </row>
    <row r="24" spans="1:7" ht="14.25" customHeight="1" x14ac:dyDescent="0.25">
      <c r="A24" s="86"/>
      <c r="B24" s="28">
        <v>6</v>
      </c>
      <c r="C24" s="13" t="s">
        <v>209</v>
      </c>
      <c r="D24" s="35">
        <v>10</v>
      </c>
      <c r="E24" s="35">
        <v>4</v>
      </c>
      <c r="F24" s="36">
        <v>0</v>
      </c>
      <c r="G24" s="37">
        <f t="shared" si="0"/>
        <v>0</v>
      </c>
    </row>
    <row r="25" spans="1:7" ht="14.25" customHeight="1" x14ac:dyDescent="0.25">
      <c r="A25" s="86"/>
      <c r="B25" s="28">
        <v>7</v>
      </c>
      <c r="C25" s="13" t="s">
        <v>210</v>
      </c>
      <c r="D25" s="35">
        <v>10</v>
      </c>
      <c r="E25" s="35">
        <v>4</v>
      </c>
      <c r="F25" s="36">
        <v>0</v>
      </c>
      <c r="G25" s="37">
        <f t="shared" si="0"/>
        <v>0</v>
      </c>
    </row>
    <row r="26" spans="1:7" ht="14.25" customHeight="1" x14ac:dyDescent="0.25">
      <c r="A26" s="86"/>
      <c r="B26" s="28">
        <v>8</v>
      </c>
      <c r="C26" s="13" t="s">
        <v>211</v>
      </c>
      <c r="D26" s="35">
        <v>10</v>
      </c>
      <c r="E26" s="35">
        <v>4</v>
      </c>
      <c r="F26" s="36">
        <v>0</v>
      </c>
      <c r="G26" s="37">
        <f t="shared" si="0"/>
        <v>0</v>
      </c>
    </row>
    <row r="27" spans="1:7" ht="14.25" customHeight="1" x14ac:dyDescent="0.25">
      <c r="A27" s="86"/>
      <c r="B27" s="28">
        <v>9</v>
      </c>
      <c r="C27" s="13" t="s">
        <v>212</v>
      </c>
      <c r="D27" s="35">
        <v>10</v>
      </c>
      <c r="E27" s="35">
        <v>4</v>
      </c>
      <c r="F27" s="36">
        <v>0</v>
      </c>
      <c r="G27" s="37">
        <f t="shared" si="0"/>
        <v>0</v>
      </c>
    </row>
    <row r="28" spans="1:7" ht="14.25" customHeight="1" x14ac:dyDescent="0.25">
      <c r="A28" s="86"/>
      <c r="B28" s="28">
        <v>10</v>
      </c>
      <c r="C28" s="13" t="s">
        <v>213</v>
      </c>
      <c r="D28" s="35">
        <v>10</v>
      </c>
      <c r="E28" s="35">
        <v>4</v>
      </c>
      <c r="F28" s="36">
        <v>0</v>
      </c>
      <c r="G28" s="37">
        <f t="shared" si="0"/>
        <v>0</v>
      </c>
    </row>
    <row r="29" spans="1:7" ht="14.25" customHeight="1" x14ac:dyDescent="0.25">
      <c r="A29" s="86"/>
      <c r="B29" s="28">
        <v>11</v>
      </c>
      <c r="C29" s="13" t="s">
        <v>214</v>
      </c>
      <c r="D29" s="35">
        <v>10</v>
      </c>
      <c r="E29" s="35">
        <v>4</v>
      </c>
      <c r="F29" s="36">
        <v>0</v>
      </c>
      <c r="G29" s="37">
        <f t="shared" si="0"/>
        <v>0</v>
      </c>
    </row>
    <row r="30" spans="1:7" ht="14.25" customHeight="1" x14ac:dyDescent="0.25">
      <c r="A30" s="86"/>
      <c r="B30" s="28">
        <v>12</v>
      </c>
      <c r="C30" s="13" t="s">
        <v>215</v>
      </c>
      <c r="D30" s="35">
        <v>10</v>
      </c>
      <c r="E30" s="35">
        <v>4</v>
      </c>
      <c r="F30" s="36">
        <v>0</v>
      </c>
      <c r="G30" s="37">
        <f t="shared" si="0"/>
        <v>0</v>
      </c>
    </row>
    <row r="31" spans="1:7" ht="14.25" customHeight="1" x14ac:dyDescent="0.25">
      <c r="A31" s="44"/>
      <c r="B31" s="28">
        <v>13</v>
      </c>
      <c r="C31" s="13" t="s">
        <v>216</v>
      </c>
      <c r="D31" s="35">
        <v>10</v>
      </c>
      <c r="E31" s="35">
        <v>4</v>
      </c>
      <c r="F31" s="36">
        <v>0</v>
      </c>
      <c r="G31" s="37">
        <f t="shared" si="0"/>
        <v>0</v>
      </c>
    </row>
    <row r="32" spans="1:7" ht="14.25" customHeight="1" x14ac:dyDescent="0.25">
      <c r="A32" s="44"/>
      <c r="B32" s="28">
        <v>14</v>
      </c>
      <c r="C32" s="13" t="s">
        <v>217</v>
      </c>
      <c r="D32" s="35">
        <v>10</v>
      </c>
      <c r="E32" s="35">
        <v>4</v>
      </c>
      <c r="F32" s="36">
        <v>0</v>
      </c>
      <c r="G32" s="37">
        <f t="shared" si="0"/>
        <v>0</v>
      </c>
    </row>
    <row r="33" spans="1:7" ht="14.25" customHeight="1" x14ac:dyDescent="0.25">
      <c r="A33" s="44"/>
      <c r="B33" s="28">
        <v>15</v>
      </c>
      <c r="C33" s="13" t="s">
        <v>218</v>
      </c>
      <c r="D33" s="35">
        <v>10</v>
      </c>
      <c r="E33" s="35">
        <v>4</v>
      </c>
      <c r="F33" s="36">
        <v>0</v>
      </c>
      <c r="G33" s="37">
        <f t="shared" si="0"/>
        <v>0</v>
      </c>
    </row>
    <row r="34" spans="1:7" ht="14.25" customHeight="1" x14ac:dyDescent="0.25">
      <c r="A34" s="44"/>
      <c r="B34" s="28">
        <v>16</v>
      </c>
      <c r="C34" s="13" t="s">
        <v>219</v>
      </c>
      <c r="D34" s="35">
        <v>10</v>
      </c>
      <c r="E34" s="35">
        <v>4</v>
      </c>
      <c r="F34" s="36">
        <v>0</v>
      </c>
      <c r="G34" s="37">
        <f t="shared" si="0"/>
        <v>0</v>
      </c>
    </row>
    <row r="35" spans="1:7" ht="14.25" customHeight="1" x14ac:dyDescent="0.25">
      <c r="A35" s="44"/>
      <c r="B35" s="28">
        <v>17</v>
      </c>
      <c r="C35" s="13" t="s">
        <v>220</v>
      </c>
      <c r="D35" s="35">
        <v>10</v>
      </c>
      <c r="E35" s="35">
        <v>4</v>
      </c>
      <c r="F35" s="36">
        <v>0</v>
      </c>
      <c r="G35" s="37">
        <f t="shared" si="0"/>
        <v>0</v>
      </c>
    </row>
    <row r="36" spans="1:7" ht="14.25" customHeight="1" x14ac:dyDescent="0.25">
      <c r="A36" s="44"/>
      <c r="B36" s="28">
        <v>18</v>
      </c>
      <c r="C36" s="13" t="s">
        <v>221</v>
      </c>
      <c r="D36" s="35">
        <v>10</v>
      </c>
      <c r="E36" s="35">
        <v>4</v>
      </c>
      <c r="F36" s="36">
        <v>0</v>
      </c>
      <c r="G36" s="37">
        <f t="shared" si="0"/>
        <v>0</v>
      </c>
    </row>
    <row r="37" spans="1:7" ht="14.25" customHeight="1" x14ac:dyDescent="0.25">
      <c r="A37" s="44"/>
      <c r="B37" s="28">
        <v>19</v>
      </c>
      <c r="C37" s="13" t="s">
        <v>222</v>
      </c>
      <c r="D37" s="35">
        <v>10</v>
      </c>
      <c r="E37" s="35">
        <v>4</v>
      </c>
      <c r="F37" s="36">
        <v>0</v>
      </c>
      <c r="G37" s="37">
        <f t="shared" si="0"/>
        <v>0</v>
      </c>
    </row>
    <row r="38" spans="1:7" ht="14.25" customHeight="1" x14ac:dyDescent="0.25">
      <c r="A38" s="44"/>
      <c r="B38" s="28">
        <v>20</v>
      </c>
      <c r="C38" s="13" t="s">
        <v>223</v>
      </c>
      <c r="D38" s="35">
        <v>10</v>
      </c>
      <c r="E38" s="35">
        <v>4</v>
      </c>
      <c r="F38" s="36">
        <v>0</v>
      </c>
      <c r="G38" s="37">
        <f t="shared" si="0"/>
        <v>0</v>
      </c>
    </row>
    <row r="39" spans="1:7" ht="14.25" customHeight="1" x14ac:dyDescent="0.25">
      <c r="A39" s="44"/>
      <c r="B39" s="28">
        <v>21</v>
      </c>
      <c r="C39" s="13" t="s">
        <v>224</v>
      </c>
      <c r="D39" s="35">
        <v>10</v>
      </c>
      <c r="E39" s="35">
        <v>4</v>
      </c>
      <c r="F39" s="36">
        <v>0</v>
      </c>
      <c r="G39" s="37">
        <f t="shared" si="0"/>
        <v>0</v>
      </c>
    </row>
    <row r="40" spans="1:7" ht="14.25" customHeight="1" x14ac:dyDescent="0.25">
      <c r="A40" s="44"/>
      <c r="B40" s="28">
        <v>22</v>
      </c>
      <c r="C40" s="13" t="s">
        <v>225</v>
      </c>
      <c r="D40" s="35">
        <v>10</v>
      </c>
      <c r="E40" s="35">
        <v>4</v>
      </c>
      <c r="F40" s="36">
        <v>0</v>
      </c>
      <c r="G40" s="37">
        <f t="shared" si="0"/>
        <v>0</v>
      </c>
    </row>
    <row r="41" spans="1:7" ht="14.25" customHeight="1" x14ac:dyDescent="0.25">
      <c r="A41" s="44"/>
      <c r="B41" s="28">
        <v>23</v>
      </c>
      <c r="C41" s="13" t="s">
        <v>226</v>
      </c>
      <c r="D41" s="35">
        <v>10</v>
      </c>
      <c r="E41" s="35">
        <v>4</v>
      </c>
      <c r="F41" s="36">
        <v>0</v>
      </c>
      <c r="G41" s="37">
        <f t="shared" si="0"/>
        <v>0</v>
      </c>
    </row>
    <row r="42" spans="1:7" ht="14.25" customHeight="1" x14ac:dyDescent="0.25">
      <c r="A42" s="44"/>
      <c r="B42" s="28">
        <v>24</v>
      </c>
      <c r="C42" s="13" t="s">
        <v>227</v>
      </c>
      <c r="D42" s="35">
        <v>10</v>
      </c>
      <c r="E42" s="35">
        <v>4</v>
      </c>
      <c r="F42" s="36">
        <v>0</v>
      </c>
      <c r="G42" s="37">
        <f t="shared" si="0"/>
        <v>0</v>
      </c>
    </row>
    <row r="43" spans="1:7" ht="14.25" customHeight="1" x14ac:dyDescent="0.25">
      <c r="A43" s="44"/>
      <c r="B43" s="28">
        <v>25</v>
      </c>
      <c r="C43" s="13" t="s">
        <v>228</v>
      </c>
      <c r="D43" s="35">
        <v>10</v>
      </c>
      <c r="E43" s="35">
        <v>4</v>
      </c>
      <c r="F43" s="36">
        <v>0</v>
      </c>
      <c r="G43" s="37">
        <f t="shared" si="0"/>
        <v>0</v>
      </c>
    </row>
    <row r="44" spans="1:7" ht="14.25" customHeight="1" x14ac:dyDescent="0.25">
      <c r="A44" s="44"/>
      <c r="B44" s="19"/>
      <c r="C44" s="33" t="s">
        <v>92</v>
      </c>
      <c r="D44" s="19"/>
      <c r="E44" s="19"/>
      <c r="F44" s="53"/>
      <c r="G44" s="37">
        <f>SUM(G19:G43)</f>
        <v>0</v>
      </c>
    </row>
    <row r="45" spans="1:7" ht="14.25" customHeight="1" x14ac:dyDescent="0.25">
      <c r="A45" s="113" t="s">
        <v>229</v>
      </c>
      <c r="B45" s="79"/>
      <c r="C45" s="79"/>
      <c r="D45" s="79"/>
      <c r="E45" s="79"/>
      <c r="F45" s="79"/>
      <c r="G45" s="80"/>
    </row>
    <row r="46" spans="1:7" ht="14.25" customHeight="1" x14ac:dyDescent="0.25">
      <c r="A46" s="70"/>
      <c r="B46" s="71"/>
      <c r="C46" s="71"/>
      <c r="D46" s="71"/>
      <c r="E46" s="71"/>
      <c r="F46" s="71"/>
      <c r="G46" s="72"/>
    </row>
    <row r="47" spans="1:7" ht="14.25" customHeight="1" x14ac:dyDescent="0.25">
      <c r="A47" s="73"/>
      <c r="B47" s="69"/>
      <c r="C47" s="69"/>
      <c r="D47" s="69"/>
      <c r="E47" s="69"/>
      <c r="F47" s="69"/>
      <c r="G47" s="74"/>
    </row>
    <row r="48" spans="1:7" ht="14.25" customHeight="1" x14ac:dyDescent="0.25">
      <c r="A48" s="75"/>
      <c r="B48" s="76"/>
      <c r="C48" s="76"/>
      <c r="D48" s="76"/>
      <c r="E48" s="76"/>
      <c r="F48" s="76"/>
      <c r="G48" s="77"/>
    </row>
    <row r="49" spans="1:7" ht="14.25" customHeight="1" x14ac:dyDescent="0.25">
      <c r="A49" s="102" t="s">
        <v>45</v>
      </c>
      <c r="B49" s="71"/>
      <c r="C49" s="90"/>
      <c r="D49" s="103" t="s">
        <v>95</v>
      </c>
      <c r="E49" s="105" t="str">
        <f>IF(G44&lt;100,"Tidak teridentifikasi",IF(G44&gt;=100,"CERDAS ISTIMEWA"))</f>
        <v>Tidak teridentifikasi</v>
      </c>
      <c r="F49" s="71"/>
      <c r="G49" s="72"/>
    </row>
    <row r="50" spans="1:7" ht="14.25" customHeight="1" x14ac:dyDescent="0.25">
      <c r="A50" s="91"/>
      <c r="B50" s="92"/>
      <c r="C50" s="93"/>
      <c r="D50" s="104"/>
      <c r="E50" s="106"/>
      <c r="F50" s="92"/>
      <c r="G50" s="107"/>
    </row>
    <row r="51" spans="1:7" ht="14.25" customHeight="1" x14ac:dyDescent="0.25"/>
    <row r="52" spans="1:7" ht="14.25" customHeight="1" x14ac:dyDescent="0.25"/>
    <row r="53" spans="1:7" ht="14.25" customHeight="1" x14ac:dyDescent="0.25"/>
    <row r="54" spans="1:7" ht="14.25" customHeight="1" x14ac:dyDescent="0.25"/>
    <row r="55" spans="1:7" ht="14.25" customHeight="1" x14ac:dyDescent="0.25"/>
    <row r="56" spans="1:7" ht="14.25" customHeight="1" x14ac:dyDescent="0.25"/>
    <row r="57" spans="1:7" ht="14.25" customHeight="1" x14ac:dyDescent="0.25"/>
    <row r="58" spans="1:7" ht="14.25" customHeight="1" x14ac:dyDescent="0.25"/>
    <row r="59" spans="1:7" ht="14.25" customHeight="1" x14ac:dyDescent="0.25"/>
    <row r="60" spans="1:7" ht="14.25" customHeight="1" x14ac:dyDescent="0.25"/>
    <row r="61" spans="1:7" ht="14.25" customHeight="1" x14ac:dyDescent="0.25"/>
    <row r="62" spans="1:7" ht="14.25" customHeight="1" x14ac:dyDescent="0.25"/>
    <row r="63" spans="1:7" ht="14.25" customHeight="1" x14ac:dyDescent="0.25"/>
    <row r="64" spans="1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C7:G7"/>
    <mergeCell ref="C8:G8"/>
    <mergeCell ref="D49:D50"/>
    <mergeCell ref="E49:G50"/>
    <mergeCell ref="C9:G9"/>
    <mergeCell ref="A15:G15"/>
    <mergeCell ref="A17:G17"/>
    <mergeCell ref="A19:A30"/>
    <mergeCell ref="A45:G45"/>
    <mergeCell ref="A46:G48"/>
    <mergeCell ref="A49:C50"/>
    <mergeCell ref="A1:G1"/>
    <mergeCell ref="C3:G3"/>
    <mergeCell ref="C4:G4"/>
    <mergeCell ref="C5:G5"/>
    <mergeCell ref="C6:G6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H. Penglihatan</vt:lpstr>
      <vt:lpstr>H. Pendengaran</vt:lpstr>
      <vt:lpstr>H. Intelektual</vt:lpstr>
      <vt:lpstr>H. Fisik Motorik</vt:lpstr>
      <vt:lpstr>H. Emosional</vt:lpstr>
      <vt:lpstr>AUTISM</vt:lpstr>
      <vt:lpstr>ADHD</vt:lpstr>
      <vt:lpstr>Slow Leaner</vt:lpstr>
      <vt:lpstr>Kesulitan Belajar</vt:lpstr>
      <vt:lpstr>CIBI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nsafriadi@gmail.com</cp:lastModifiedBy>
  <dcterms:created xsi:type="dcterms:W3CDTF">2020-12-10T03:36:00Z</dcterms:created>
  <dcterms:modified xsi:type="dcterms:W3CDTF">2026-08-03T15:27:17Z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56C2CD6E7E54474F818980351D5C0ACB_12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0</vt:i4>
  </property>
</Properties>
</file>